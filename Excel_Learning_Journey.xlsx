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3.xml" ContentType="application/vnd.openxmlformats-officedocument.drawing+xml"/>
  <Override PartName="/xl/drawings/drawing1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1.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22.xml" ContentType="application/vnd.openxmlformats-officedocument.drawing+xml"/>
  <Override PartName="/xl/slicers/slicer1.xml" ContentType="application/vnd.ms-excel.slicer+xml"/>
  <Override PartName="/xl/timelines/timeline1.xml" ContentType="application/vnd.ms-excel.timelin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hidePivotFieldList="1"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13_ncr:1_{98CEC3F3-D2D4-40AC-8C33-E3B919017713}" xr6:coauthVersionLast="47" xr6:coauthVersionMax="47" xr10:uidLastSave="{00000000-0000-0000-0000-000000000000}"/>
  <bookViews>
    <workbookView xWindow="-120" yWindow="-120" windowWidth="29040" windowHeight="15720" tabRatio="593" firstSheet="6" activeTab="12" xr2:uid="{540A8B4D-16C2-4095-8E3D-4A3A4673859C}"/>
  </bookViews>
  <sheets>
    <sheet name="BASIC EXCEL" sheetId="1" r:id="rId1"/>
    <sheet name="MARKSHEET" sheetId="2" r:id="rId2"/>
    <sheet name="DATE &amp;TIME FUNTION" sheetId="4" r:id="rId3"/>
    <sheet name="COUNTIF,COUNTIFS" sheetId="3" r:id="rId4"/>
    <sheet name="SUMIF &amp; SUMIFS" sheetId="5" r:id="rId5"/>
    <sheet name="AVERAGEIF &amp; IFS" sheetId="6" r:id="rId6"/>
    <sheet name="VLOOKUP" sheetId="7" r:id="rId7"/>
    <sheet name="HLOOKUP" sheetId="9" r:id="rId8"/>
    <sheet name="INDEX MATCH" sheetId="10" r:id="rId9"/>
    <sheet name="ISEVEN ISODD" sheetId="11" r:id="rId10"/>
    <sheet name="SEARCH FIND" sheetId="12" r:id="rId11"/>
    <sheet name="DASHBOARD 1" sheetId="13" r:id="rId12"/>
    <sheet name="DASHBOARD 2" sheetId="14" r:id="rId13"/>
    <sheet name="DASHBOARD 3" sheetId="15" r:id="rId14"/>
    <sheet name="DASHBOARD 4" sheetId="21" r:id="rId15"/>
    <sheet name="Sheet1" sheetId="53" r:id="rId16"/>
    <sheet name="TEXT SEPERATION" sheetId="16" r:id="rId17"/>
    <sheet name="TEXT SEPERATION 2" sheetId="17" r:id="rId18"/>
    <sheet name="TEXT SEPERATION 3" sheetId="18" r:id="rId19"/>
    <sheet name="VLOOKUP IFERROR" sheetId="19" r:id="rId20"/>
    <sheet name="LOGICAL FORMULA" sheetId="20" r:id="rId21"/>
    <sheet name="PIVOT TABLE" sheetId="22" r:id="rId22"/>
    <sheet name="PIVOT TABLE 2" sheetId="23" r:id="rId23"/>
    <sheet name="PIVOT TABLE 3" sheetId="25" r:id="rId24"/>
    <sheet name="GROUP AND UNGROUP" sheetId="27" r:id="rId25"/>
    <sheet name="PIVOT TABLE 4" sheetId="28" r:id="rId26"/>
    <sheet name="PIVOT CHART" sheetId="30" r:id="rId27"/>
    <sheet name="PIVOT TABLE END" sheetId="31" r:id="rId28"/>
    <sheet name="ATTENDENCE SHEET " sheetId="32" r:id="rId29"/>
    <sheet name="SALARY SHEET " sheetId="33" r:id="rId30"/>
    <sheet name="BASIC FORMULA 1" sheetId="34" r:id="rId31"/>
    <sheet name="BASIC FORMULA 2" sheetId="35" r:id="rId32"/>
    <sheet name="FINACIAL FORMULA" sheetId="36" r:id="rId33"/>
    <sheet name="PMT" sheetId="37" r:id="rId34"/>
    <sheet name="TEST 1" sheetId="38" r:id="rId35"/>
    <sheet name="TEST 2" sheetId="40" r:id="rId36"/>
    <sheet name="TEST 3" sheetId="41" r:id="rId37"/>
    <sheet name="TEST 4" sheetId="42" r:id="rId38"/>
    <sheet name="TEST 5" sheetId="43" r:id="rId39"/>
    <sheet name="TEST 6" sheetId="44" r:id="rId40"/>
    <sheet name="TEST 7  " sheetId="45" r:id="rId41"/>
    <sheet name="TEST 8" sheetId="47" r:id="rId42"/>
    <sheet name="TOTAL STOCK DATA" sheetId="48" r:id="rId43"/>
    <sheet name="HIGHTLIGHT " sheetId="49" r:id="rId44"/>
    <sheet name="BILLING INVOICE" sheetId="51" r:id="rId45"/>
    <sheet name="30 SHORTCUT KEYS" sheetId="52" r:id="rId46"/>
  </sheets>
  <definedNames>
    <definedName name="_xlnm._FilterDatabase" localSheetId="45" hidden="1">'30 SHORTCUT KEYS'!$C$23:$K$32</definedName>
    <definedName name="_xlnm._FilterDatabase" localSheetId="11" hidden="1">'DASHBOARD 1'!#REF!</definedName>
    <definedName name="NativeTimeline_DATE">#N/A</definedName>
    <definedName name="Slicer_AGE">#N/A</definedName>
    <definedName name="Slicer_DATE">#N/A</definedName>
    <definedName name="Slicer_ITEM">#N/A</definedName>
    <definedName name="Slicer_REGION">#N/A</definedName>
  </definedNames>
  <calcPr calcId="191029"/>
  <pivotCaches>
    <pivotCache cacheId="0" r:id="rId47"/>
  </pivotCaches>
  <extLst>
    <ext xmlns:x14="http://schemas.microsoft.com/office/spreadsheetml/2009/9/main" uri="{BBE1A952-AA13-448e-AADC-164F8A28A991}">
      <x14:slicerCaches>
        <x14:slicerCache r:id="rId48"/>
        <x14:slicerCache r:id="rId49"/>
        <x14:slicerCache r:id="rId50"/>
        <x14:slicerCache r:id="rId5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52"/>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23" i="10" l="1"/>
  <c r="K23" i="10"/>
  <c r="L23" i="10"/>
  <c r="M23" i="10"/>
  <c r="J24" i="10"/>
  <c r="K24" i="10"/>
  <c r="L24" i="10"/>
  <c r="M24" i="10"/>
  <c r="J25" i="10"/>
  <c r="K25" i="10"/>
  <c r="L25" i="10"/>
  <c r="M25" i="10"/>
  <c r="K22" i="10"/>
  <c r="L22" i="10"/>
  <c r="M22" i="10"/>
  <c r="J22" i="10"/>
  <c r="C16" i="44"/>
  <c r="C17" i="44"/>
  <c r="C18" i="44"/>
  <c r="C19" i="44"/>
  <c r="C20" i="44"/>
  <c r="C21" i="44"/>
  <c r="D10" i="21"/>
  <c r="F10" i="21" s="1"/>
  <c r="D11" i="21"/>
  <c r="F11" i="21" s="1"/>
  <c r="D12" i="21"/>
  <c r="D13" i="21"/>
  <c r="E13" i="21" s="1"/>
  <c r="D14" i="21"/>
  <c r="E14" i="21" s="1"/>
  <c r="D15" i="21"/>
  <c r="E15" i="21" s="1"/>
  <c r="D16" i="21"/>
  <c r="D17" i="21"/>
  <c r="E17" i="21" s="1"/>
  <c r="D18" i="21"/>
  <c r="E18" i="21" s="1"/>
  <c r="D19" i="21"/>
  <c r="E19" i="21" s="1"/>
  <c r="D20" i="21"/>
  <c r="D21" i="21"/>
  <c r="F21" i="21" s="1"/>
  <c r="D22" i="21"/>
  <c r="E22" i="21" s="1"/>
  <c r="D23" i="21"/>
  <c r="F23" i="21" s="1"/>
  <c r="D24" i="21"/>
  <c r="D25" i="21"/>
  <c r="E25" i="21" s="1"/>
  <c r="D26" i="21"/>
  <c r="F26" i="21" s="1"/>
  <c r="D27" i="21"/>
  <c r="F27" i="21" s="1"/>
  <c r="D28" i="21"/>
  <c r="D29" i="21"/>
  <c r="E29" i="21" s="1"/>
  <c r="D30" i="21"/>
  <c r="E30" i="21" s="1"/>
  <c r="D31" i="21"/>
  <c r="E31" i="21" s="1"/>
  <c r="D32" i="21"/>
  <c r="D33" i="21"/>
  <c r="F33" i="21" s="1"/>
  <c r="D34" i="21"/>
  <c r="E34" i="21" s="1"/>
  <c r="D35" i="21"/>
  <c r="E35" i="21" s="1"/>
  <c r="D36" i="21"/>
  <c r="D37" i="21"/>
  <c r="E37" i="21" s="1"/>
  <c r="D9" i="21"/>
  <c r="E9" i="21" s="1"/>
  <c r="E11" i="21"/>
  <c r="E12" i="21"/>
  <c r="F12" i="21"/>
  <c r="F15" i="21"/>
  <c r="E16" i="21"/>
  <c r="F16" i="21"/>
  <c r="F19" i="21"/>
  <c r="E20" i="21"/>
  <c r="F20" i="21"/>
  <c r="E24" i="21"/>
  <c r="F24" i="21"/>
  <c r="E28" i="21"/>
  <c r="F28" i="21"/>
  <c r="F31" i="21"/>
  <c r="E32" i="21"/>
  <c r="F32" i="21"/>
  <c r="F35" i="21"/>
  <c r="E36" i="21"/>
  <c r="F36" i="21"/>
  <c r="H8" i="13"/>
  <c r="I8" i="13"/>
  <c r="J8" i="13"/>
  <c r="H9" i="13"/>
  <c r="I9" i="13"/>
  <c r="J9" i="13"/>
  <c r="H10" i="13"/>
  <c r="I10" i="13"/>
  <c r="J10" i="13"/>
  <c r="H11" i="13"/>
  <c r="I11" i="13"/>
  <c r="J11" i="13"/>
  <c r="H12" i="13"/>
  <c r="I12" i="13"/>
  <c r="J12" i="13"/>
  <c r="H13" i="13"/>
  <c r="I13" i="13"/>
  <c r="J13" i="13"/>
  <c r="H14" i="13"/>
  <c r="I14" i="13"/>
  <c r="J14" i="13"/>
  <c r="H15" i="13"/>
  <c r="I15" i="13"/>
  <c r="J15" i="13"/>
  <c r="H16" i="13"/>
  <c r="I16" i="13"/>
  <c r="J16" i="13"/>
  <c r="H17" i="13"/>
  <c r="I17" i="13"/>
  <c r="J17" i="13"/>
  <c r="H18" i="13"/>
  <c r="I18" i="13"/>
  <c r="J18" i="13"/>
  <c r="H19" i="13"/>
  <c r="I19" i="13"/>
  <c r="J19" i="13"/>
  <c r="H20" i="13"/>
  <c r="I20" i="13"/>
  <c r="J20" i="13"/>
  <c r="H21" i="13"/>
  <c r="I21" i="13"/>
  <c r="J21" i="13"/>
  <c r="H22" i="13"/>
  <c r="I22" i="13"/>
  <c r="J22" i="13"/>
  <c r="H23" i="13"/>
  <c r="I23" i="13"/>
  <c r="J23" i="13"/>
  <c r="H24" i="13"/>
  <c r="I24" i="13"/>
  <c r="J24" i="13"/>
  <c r="H25" i="13"/>
  <c r="I25" i="13"/>
  <c r="J25" i="13"/>
  <c r="H26" i="13"/>
  <c r="I26" i="13"/>
  <c r="J26" i="13"/>
  <c r="H27" i="13"/>
  <c r="I27" i="13"/>
  <c r="J27" i="13"/>
  <c r="H28" i="13"/>
  <c r="I28" i="13"/>
  <c r="J28" i="13"/>
  <c r="H29" i="13"/>
  <c r="I29" i="13"/>
  <c r="J29" i="13"/>
  <c r="H30" i="13"/>
  <c r="I30" i="13"/>
  <c r="J30" i="13"/>
  <c r="H31" i="13"/>
  <c r="I31" i="13"/>
  <c r="J31" i="13"/>
  <c r="H32" i="13"/>
  <c r="I32" i="13"/>
  <c r="J32" i="13"/>
  <c r="H33" i="13"/>
  <c r="I33" i="13"/>
  <c r="J33" i="13"/>
  <c r="H34" i="13"/>
  <c r="I34" i="13"/>
  <c r="J34" i="13"/>
  <c r="H35" i="13"/>
  <c r="I35" i="13"/>
  <c r="J35" i="13"/>
  <c r="I7" i="13"/>
  <c r="J7" i="13"/>
  <c r="H7" i="13"/>
  <c r="H15" i="37"/>
  <c r="H12" i="37"/>
  <c r="E19" i="37"/>
  <c r="J5" i="43"/>
  <c r="K5" i="43"/>
  <c r="J6" i="43"/>
  <c r="K6" i="43"/>
  <c r="J7" i="43"/>
  <c r="K7" i="43"/>
  <c r="J8" i="43"/>
  <c r="K8" i="43"/>
  <c r="I6" i="43"/>
  <c r="I7" i="43"/>
  <c r="I8" i="43"/>
  <c r="I5" i="43"/>
  <c r="L3" i="48"/>
  <c r="G23" i="47"/>
  <c r="G24" i="47"/>
  <c r="G25" i="47"/>
  <c r="G26" i="47"/>
  <c r="G27" i="47"/>
  <c r="G28" i="47"/>
  <c r="G22" i="47"/>
  <c r="F23" i="47"/>
  <c r="F24" i="47"/>
  <c r="F25" i="47"/>
  <c r="F26" i="47"/>
  <c r="F27" i="47"/>
  <c r="F28" i="47"/>
  <c r="F22" i="47"/>
  <c r="F3" i="47"/>
  <c r="H18" i="42"/>
  <c r="H11" i="42"/>
  <c r="H17" i="42"/>
  <c r="L20" i="5"/>
  <c r="L32" i="5"/>
  <c r="H16" i="42"/>
  <c r="H15" i="42"/>
  <c r="J10" i="41"/>
  <c r="J17" i="40"/>
  <c r="K17" i="40"/>
  <c r="J16" i="40"/>
  <c r="K16" i="40"/>
  <c r="J15" i="40"/>
  <c r="K15" i="40"/>
  <c r="K9" i="40"/>
  <c r="C32" i="40"/>
  <c r="D16" i="40"/>
  <c r="C13" i="40"/>
  <c r="U9" i="2"/>
  <c r="U10" i="2"/>
  <c r="U11" i="2"/>
  <c r="U12" i="2"/>
  <c r="U13" i="2"/>
  <c r="U14" i="2"/>
  <c r="U15" i="2"/>
  <c r="U16" i="2"/>
  <c r="U17" i="2"/>
  <c r="U8" i="2"/>
  <c r="U25" i="2"/>
  <c r="U26" i="2"/>
  <c r="U27" i="2"/>
  <c r="U28" i="2"/>
  <c r="U29" i="2"/>
  <c r="U30" i="2"/>
  <c r="U31" i="2"/>
  <c r="U32" i="2"/>
  <c r="U33" i="2"/>
  <c r="U24" i="2"/>
  <c r="R25" i="2"/>
  <c r="R26" i="2"/>
  <c r="R27" i="2"/>
  <c r="R28" i="2"/>
  <c r="R29" i="2"/>
  <c r="R30" i="2"/>
  <c r="R31" i="2"/>
  <c r="R32" i="2"/>
  <c r="R33" i="2"/>
  <c r="R24" i="2"/>
  <c r="T30" i="9"/>
  <c r="S30" i="9"/>
  <c r="R30" i="9"/>
  <c r="Q30" i="9"/>
  <c r="P30" i="9"/>
  <c r="T29" i="9"/>
  <c r="S29" i="9"/>
  <c r="R29" i="9"/>
  <c r="Q29" i="9"/>
  <c r="P29" i="9"/>
  <c r="T28" i="9"/>
  <c r="S28" i="9"/>
  <c r="R28" i="9"/>
  <c r="Q28" i="9"/>
  <c r="P28" i="9"/>
  <c r="T27" i="9"/>
  <c r="S27" i="9"/>
  <c r="R27" i="9"/>
  <c r="Q27" i="9"/>
  <c r="P27" i="9"/>
  <c r="T26" i="9"/>
  <c r="S26" i="9"/>
  <c r="R26" i="9"/>
  <c r="Q26" i="9"/>
  <c r="P26" i="9"/>
  <c r="T25" i="9"/>
  <c r="S25" i="9"/>
  <c r="R25" i="9"/>
  <c r="Q25" i="9"/>
  <c r="P25" i="9"/>
  <c r="T24" i="9"/>
  <c r="S24" i="9"/>
  <c r="R24" i="9"/>
  <c r="Q24" i="9"/>
  <c r="P24" i="9"/>
  <c r="T23" i="9"/>
  <c r="S23" i="9"/>
  <c r="R23" i="9"/>
  <c r="Q23" i="9"/>
  <c r="P23" i="9"/>
  <c r="T22" i="9"/>
  <c r="S22" i="9"/>
  <c r="R22" i="9"/>
  <c r="Q22" i="9"/>
  <c r="P22" i="9"/>
  <c r="T21" i="9"/>
  <c r="S21" i="9"/>
  <c r="R21" i="9"/>
  <c r="Q21" i="9"/>
  <c r="P21" i="9"/>
  <c r="T20" i="9"/>
  <c r="S20" i="9"/>
  <c r="R20" i="9"/>
  <c r="Q20" i="9"/>
  <c r="P20" i="9"/>
  <c r="Q11" i="7"/>
  <c r="R11" i="7"/>
  <c r="S11" i="7"/>
  <c r="T11" i="7"/>
  <c r="U11" i="7"/>
  <c r="Q12" i="7"/>
  <c r="R12" i="7"/>
  <c r="S12" i="7"/>
  <c r="T12" i="7"/>
  <c r="U12" i="7"/>
  <c r="Q13" i="7"/>
  <c r="R13" i="7"/>
  <c r="S13" i="7"/>
  <c r="T13" i="7"/>
  <c r="U13" i="7"/>
  <c r="Q14" i="7"/>
  <c r="R14" i="7"/>
  <c r="S14" i="7"/>
  <c r="T14" i="7"/>
  <c r="U14" i="7"/>
  <c r="Q15" i="7"/>
  <c r="R15" i="7"/>
  <c r="S15" i="7"/>
  <c r="T15" i="7"/>
  <c r="U15" i="7"/>
  <c r="Q16" i="7"/>
  <c r="R16" i="7"/>
  <c r="S16" i="7"/>
  <c r="T16" i="7"/>
  <c r="U16" i="7"/>
  <c r="Q17" i="7"/>
  <c r="R17" i="7"/>
  <c r="S17" i="7"/>
  <c r="T17" i="7"/>
  <c r="U17" i="7"/>
  <c r="Q18" i="7"/>
  <c r="R18" i="7"/>
  <c r="S18" i="7"/>
  <c r="T18" i="7"/>
  <c r="U18" i="7"/>
  <c r="Q19" i="7"/>
  <c r="R19" i="7"/>
  <c r="S19" i="7"/>
  <c r="T19" i="7"/>
  <c r="U19" i="7"/>
  <c r="R10" i="7"/>
  <c r="S10" i="7"/>
  <c r="T10" i="7"/>
  <c r="U10" i="7"/>
  <c r="Q10" i="7"/>
  <c r="T33" i="2"/>
  <c r="T32" i="2"/>
  <c r="T31" i="2"/>
  <c r="T30" i="2"/>
  <c r="T29" i="2"/>
  <c r="T28" i="2"/>
  <c r="T27" i="2"/>
  <c r="T26" i="2"/>
  <c r="T25" i="2"/>
  <c r="S33" i="2"/>
  <c r="S32" i="2"/>
  <c r="S31" i="2"/>
  <c r="S30" i="2"/>
  <c r="S29" i="2"/>
  <c r="S28" i="2"/>
  <c r="S27" i="2"/>
  <c r="S26" i="2"/>
  <c r="S25" i="2"/>
  <c r="Q25" i="2"/>
  <c r="Q26" i="2"/>
  <c r="Q27" i="2"/>
  <c r="Q28" i="2"/>
  <c r="Q29" i="2"/>
  <c r="Q30" i="2"/>
  <c r="Q31" i="2"/>
  <c r="Q32" i="2"/>
  <c r="Q33" i="2"/>
  <c r="P25" i="2"/>
  <c r="P26" i="2"/>
  <c r="P27" i="2"/>
  <c r="P28" i="2"/>
  <c r="P29" i="2"/>
  <c r="P30" i="2"/>
  <c r="P31" i="2"/>
  <c r="P32" i="2"/>
  <c r="P33" i="2"/>
  <c r="O25" i="2"/>
  <c r="O26" i="2"/>
  <c r="O27" i="2"/>
  <c r="O28" i="2"/>
  <c r="O29" i="2"/>
  <c r="O30" i="2"/>
  <c r="O31" i="2"/>
  <c r="O32" i="2"/>
  <c r="O33" i="2"/>
  <c r="N25" i="2"/>
  <c r="N26" i="2"/>
  <c r="N27" i="2"/>
  <c r="N28" i="2"/>
  <c r="N29" i="2"/>
  <c r="N30" i="2"/>
  <c r="N31" i="2"/>
  <c r="N32" i="2"/>
  <c r="N33" i="2"/>
  <c r="T24" i="2"/>
  <c r="S24" i="2"/>
  <c r="Q24" i="2"/>
  <c r="P24" i="2"/>
  <c r="O24" i="2"/>
  <c r="N24" i="2"/>
  <c r="M25" i="2"/>
  <c r="M26" i="2"/>
  <c r="M27" i="2"/>
  <c r="M28" i="2"/>
  <c r="M29" i="2"/>
  <c r="M30" i="2"/>
  <c r="M31" i="2"/>
  <c r="M32" i="2"/>
  <c r="M33" i="2"/>
  <c r="M24" i="2"/>
  <c r="L25" i="2"/>
  <c r="L26" i="2"/>
  <c r="L27" i="2"/>
  <c r="L28" i="2"/>
  <c r="L29" i="2"/>
  <c r="L30" i="2"/>
  <c r="L31" i="2"/>
  <c r="L32" i="2"/>
  <c r="L33" i="2"/>
  <c r="L24" i="2"/>
  <c r="D32" i="17"/>
  <c r="F11" i="16"/>
  <c r="F12" i="16"/>
  <c r="F13" i="16"/>
  <c r="F14" i="16"/>
  <c r="F15" i="16"/>
  <c r="F10" i="16"/>
  <c r="T8" i="2"/>
  <c r="D33" i="36"/>
  <c r="C27" i="36"/>
  <c r="C28" i="36"/>
  <c r="D27" i="36" s="1"/>
  <c r="C33" i="36"/>
  <c r="D16" i="36"/>
  <c r="D15" i="36"/>
  <c r="D24" i="36"/>
  <c r="D25" i="36"/>
  <c r="E20" i="37"/>
  <c r="G9" i="53"/>
  <c r="D10" i="53"/>
  <c r="G10" i="53" s="1"/>
  <c r="G11" i="53"/>
  <c r="D12" i="53"/>
  <c r="G12" i="53" s="1"/>
  <c r="D13" i="53"/>
  <c r="E13" i="53" s="1"/>
  <c r="D14" i="53"/>
  <c r="G14" i="53" s="1"/>
  <c r="D15" i="53"/>
  <c r="G15" i="53" s="1"/>
  <c r="D16" i="53"/>
  <c r="G16" i="53" s="1"/>
  <c r="D17" i="53"/>
  <c r="E17" i="53" s="1"/>
  <c r="D18" i="53"/>
  <c r="G18" i="53" s="1"/>
  <c r="D19" i="53"/>
  <c r="G19" i="53" s="1"/>
  <c r="D20" i="53"/>
  <c r="G20" i="53" s="1"/>
  <c r="D21" i="53"/>
  <c r="E21" i="53" s="1"/>
  <c r="D22" i="53"/>
  <c r="G22" i="53" s="1"/>
  <c r="D23" i="53"/>
  <c r="G23" i="53" s="1"/>
  <c r="D24" i="53"/>
  <c r="E24" i="53" s="1"/>
  <c r="D25" i="53"/>
  <c r="E25" i="53" s="1"/>
  <c r="D26" i="53"/>
  <c r="G26" i="53" s="1"/>
  <c r="D27" i="53"/>
  <c r="G27" i="53" s="1"/>
  <c r="D28" i="53"/>
  <c r="G28" i="53" s="1"/>
  <c r="D29" i="53"/>
  <c r="E29" i="53" s="1"/>
  <c r="D30" i="53"/>
  <c r="G30" i="53" s="1"/>
  <c r="D31" i="53"/>
  <c r="G31" i="53" s="1"/>
  <c r="D32" i="53"/>
  <c r="G32" i="53" s="1"/>
  <c r="D33" i="53"/>
  <c r="E33" i="53" s="1"/>
  <c r="D34" i="53"/>
  <c r="G34" i="53" s="1"/>
  <c r="D35" i="53"/>
  <c r="G35" i="53" s="1"/>
  <c r="D36" i="53"/>
  <c r="G36" i="53" s="1"/>
  <c r="D37" i="53"/>
  <c r="E37" i="53" s="1"/>
  <c r="D9" i="53"/>
  <c r="H26" i="20"/>
  <c r="H27" i="20"/>
  <c r="H28" i="20"/>
  <c r="H29" i="20"/>
  <c r="H30" i="20"/>
  <c r="H31" i="20"/>
  <c r="H32" i="20"/>
  <c r="H33" i="20"/>
  <c r="H34" i="20"/>
  <c r="H25" i="20"/>
  <c r="G26" i="20"/>
  <c r="G27" i="20"/>
  <c r="G28" i="20"/>
  <c r="G29" i="20"/>
  <c r="G30" i="20"/>
  <c r="G31" i="20"/>
  <c r="G32" i="20"/>
  <c r="G33" i="20"/>
  <c r="G34" i="20"/>
  <c r="G25" i="20"/>
  <c r="P13" i="20"/>
  <c r="P14" i="20"/>
  <c r="P15" i="20"/>
  <c r="P16" i="20"/>
  <c r="P12" i="20"/>
  <c r="O13" i="20"/>
  <c r="O14" i="20"/>
  <c r="O15" i="20"/>
  <c r="O16" i="20"/>
  <c r="O12" i="20"/>
  <c r="D13" i="20"/>
  <c r="D14" i="20"/>
  <c r="D15" i="20"/>
  <c r="D16" i="20"/>
  <c r="D12" i="20"/>
  <c r="D14" i="17"/>
  <c r="E14" i="17"/>
  <c r="F14" i="17"/>
  <c r="G14" i="17"/>
  <c r="H14" i="17"/>
  <c r="I14" i="17"/>
  <c r="J14" i="17"/>
  <c r="K14" i="17"/>
  <c r="L14" i="17"/>
  <c r="M14" i="17"/>
  <c r="D15" i="17"/>
  <c r="E15" i="17"/>
  <c r="F15" i="17"/>
  <c r="G15" i="17"/>
  <c r="H15" i="17"/>
  <c r="I15" i="17"/>
  <c r="J15" i="17"/>
  <c r="K15" i="17"/>
  <c r="L15" i="17"/>
  <c r="M15" i="17"/>
  <c r="R11" i="16"/>
  <c r="R12" i="16"/>
  <c r="R13" i="16"/>
  <c r="C25" i="36"/>
  <c r="C24" i="36"/>
  <c r="R10" i="16"/>
  <c r="Q13" i="16"/>
  <c r="Q12" i="16"/>
  <c r="Q11" i="16"/>
  <c r="Q10" i="16"/>
  <c r="E15" i="16"/>
  <c r="E14" i="16"/>
  <c r="E13" i="16"/>
  <c r="E12" i="16"/>
  <c r="E11" i="16"/>
  <c r="E10" i="16"/>
  <c r="D15" i="16"/>
  <c r="D14" i="16"/>
  <c r="D13" i="16"/>
  <c r="D12" i="16"/>
  <c r="D11" i="16"/>
  <c r="D10" i="16"/>
  <c r="L41" i="6"/>
  <c r="L51" i="6"/>
  <c r="I34" i="6"/>
  <c r="I27" i="6"/>
  <c r="I21" i="6"/>
  <c r="I16" i="6"/>
  <c r="I40" i="5"/>
  <c r="I32" i="5"/>
  <c r="I26" i="5"/>
  <c r="I20" i="5"/>
  <c r="L14" i="5"/>
  <c r="L26" i="5"/>
  <c r="L40" i="5"/>
  <c r="K36" i="3"/>
  <c r="K29" i="3"/>
  <c r="K22" i="3"/>
  <c r="K16" i="3"/>
  <c r="W18" i="4"/>
  <c r="W19" i="4"/>
  <c r="W20" i="4"/>
  <c r="W17" i="4"/>
  <c r="Q8" i="2"/>
  <c r="H8" i="41"/>
  <c r="D16" i="44"/>
  <c r="D17" i="44"/>
  <c r="D18" i="44"/>
  <c r="D19" i="44"/>
  <c r="D20" i="44"/>
  <c r="D21" i="44"/>
  <c r="G35" i="33"/>
  <c r="J12" i="33"/>
  <c r="L4" i="48"/>
  <c r="L5" i="48"/>
  <c r="L6" i="48"/>
  <c r="L7" i="48"/>
  <c r="D12" i="33"/>
  <c r="E12" i="33"/>
  <c r="F12" i="33"/>
  <c r="G12" i="33"/>
  <c r="D13" i="33"/>
  <c r="E13" i="33"/>
  <c r="K13" i="33" s="1"/>
  <c r="N13" i="33" s="1"/>
  <c r="F13" i="33"/>
  <c r="G13" i="33"/>
  <c r="D14" i="33"/>
  <c r="E14" i="33"/>
  <c r="K14" i="33" s="1"/>
  <c r="N14" i="33" s="1"/>
  <c r="F14" i="33"/>
  <c r="G14" i="33"/>
  <c r="D15" i="33"/>
  <c r="E15" i="33"/>
  <c r="F15" i="33"/>
  <c r="G15" i="33"/>
  <c r="D16" i="33"/>
  <c r="E16" i="33"/>
  <c r="F16" i="33"/>
  <c r="G16" i="33"/>
  <c r="D17" i="33"/>
  <c r="K17" i="33" s="1"/>
  <c r="N17" i="33" s="1"/>
  <c r="E17" i="33"/>
  <c r="F17" i="33"/>
  <c r="G17" i="33"/>
  <c r="D18" i="33"/>
  <c r="K18" i="33" s="1"/>
  <c r="N18" i="33" s="1"/>
  <c r="E18" i="33"/>
  <c r="F18" i="33"/>
  <c r="G18" i="33"/>
  <c r="D19" i="33"/>
  <c r="E19" i="33"/>
  <c r="F19" i="33"/>
  <c r="G19" i="33"/>
  <c r="D20" i="33"/>
  <c r="E20" i="33"/>
  <c r="F20" i="33"/>
  <c r="G20" i="33"/>
  <c r="D21" i="33"/>
  <c r="E21" i="33"/>
  <c r="K21" i="33" s="1"/>
  <c r="N21" i="33" s="1"/>
  <c r="F21" i="33"/>
  <c r="G21" i="33"/>
  <c r="D22" i="33"/>
  <c r="E22" i="33"/>
  <c r="K22" i="33" s="1"/>
  <c r="N22" i="33" s="1"/>
  <c r="F22" i="33"/>
  <c r="G22" i="33"/>
  <c r="L12" i="33"/>
  <c r="M12" i="33"/>
  <c r="J13" i="33"/>
  <c r="L13" i="33"/>
  <c r="M13" i="33"/>
  <c r="J14" i="33"/>
  <c r="L14" i="33"/>
  <c r="M14" i="33"/>
  <c r="J15" i="33"/>
  <c r="K15" i="33" s="1"/>
  <c r="N15" i="33" s="1"/>
  <c r="L15" i="33"/>
  <c r="M15" i="33"/>
  <c r="J16" i="33"/>
  <c r="L16" i="33"/>
  <c r="M16" i="33"/>
  <c r="J17" i="33"/>
  <c r="L17" i="33"/>
  <c r="M17" i="33"/>
  <c r="J18" i="33"/>
  <c r="L18" i="33"/>
  <c r="M18" i="33"/>
  <c r="J19" i="33"/>
  <c r="L19" i="33"/>
  <c r="M19" i="33"/>
  <c r="J20" i="33"/>
  <c r="L20" i="33"/>
  <c r="M20" i="33"/>
  <c r="J21" i="33"/>
  <c r="L21" i="33"/>
  <c r="M21" i="33"/>
  <c r="J22" i="33"/>
  <c r="L22" i="33"/>
  <c r="M22" i="33"/>
  <c r="G3" i="47"/>
  <c r="F4" i="47"/>
  <c r="G4" i="47"/>
  <c r="F5" i="47"/>
  <c r="G5" i="47"/>
  <c r="F6" i="47"/>
  <c r="G6" i="47"/>
  <c r="F7" i="47"/>
  <c r="G7" i="47"/>
  <c r="F8" i="47"/>
  <c r="G8" i="47"/>
  <c r="F9" i="47"/>
  <c r="G9" i="47"/>
  <c r="F10" i="47"/>
  <c r="G10" i="47"/>
  <c r="F11" i="47"/>
  <c r="G11" i="47"/>
  <c r="F12" i="47"/>
  <c r="G12" i="47"/>
  <c r="F13" i="47"/>
  <c r="G13" i="47"/>
  <c r="F14" i="47"/>
  <c r="G14" i="47"/>
  <c r="F15" i="47"/>
  <c r="G15" i="47"/>
  <c r="F16" i="47"/>
  <c r="G16" i="47"/>
  <c r="F17" i="47"/>
  <c r="G17" i="47"/>
  <c r="F18" i="47"/>
  <c r="G18" i="47"/>
  <c r="F19" i="47"/>
  <c r="G19" i="47"/>
  <c r="F20" i="47"/>
  <c r="G20" i="47"/>
  <c r="AG12" i="32"/>
  <c r="AH12" i="32" s="1"/>
  <c r="AI12" i="32" s="1"/>
  <c r="AG13" i="32"/>
  <c r="AH13" i="32" s="1"/>
  <c r="AG14" i="32"/>
  <c r="AI14" i="32" s="1"/>
  <c r="AH14" i="32"/>
  <c r="AG15" i="32"/>
  <c r="AH15" i="32"/>
  <c r="AI15" i="32"/>
  <c r="AG16" i="32"/>
  <c r="AH16" i="32"/>
  <c r="AI16" i="32"/>
  <c r="AG17" i="32"/>
  <c r="AH17" i="32" s="1"/>
  <c r="AG18" i="32"/>
  <c r="AI18" i="32" s="1"/>
  <c r="AH18" i="32"/>
  <c r="AG19" i="32"/>
  <c r="AH19" i="32"/>
  <c r="AI19" i="32"/>
  <c r="AG20" i="32"/>
  <c r="AH20" i="32"/>
  <c r="AI20" i="32"/>
  <c r="AG21" i="32"/>
  <c r="AH21" i="32" s="1"/>
  <c r="AG22" i="32"/>
  <c r="AI22" i="32" s="1"/>
  <c r="AH22" i="32"/>
  <c r="T9" i="2"/>
  <c r="T10" i="2"/>
  <c r="T11" i="2"/>
  <c r="T12" i="2"/>
  <c r="T13" i="2"/>
  <c r="T14" i="2"/>
  <c r="T15" i="2"/>
  <c r="T16" i="2"/>
  <c r="T17" i="2"/>
  <c r="F2" i="38"/>
  <c r="K7" i="40"/>
  <c r="N5" i="45"/>
  <c r="O5" i="45"/>
  <c r="P5" i="45"/>
  <c r="Q5" i="45"/>
  <c r="R5" i="45"/>
  <c r="S5" i="45"/>
  <c r="T5" i="45"/>
  <c r="U5" i="45"/>
  <c r="V5" i="45"/>
  <c r="N6" i="45"/>
  <c r="O6" i="45"/>
  <c r="P6" i="45"/>
  <c r="Q6" i="45"/>
  <c r="R6" i="45"/>
  <c r="S6" i="45"/>
  <c r="T6" i="45"/>
  <c r="U6" i="45"/>
  <c r="V6" i="45"/>
  <c r="N7" i="45"/>
  <c r="O7" i="45"/>
  <c r="P7" i="45"/>
  <c r="Q7" i="45"/>
  <c r="R7" i="45"/>
  <c r="S7" i="45"/>
  <c r="T7" i="45"/>
  <c r="U7" i="45"/>
  <c r="V7" i="45"/>
  <c r="N8" i="45"/>
  <c r="O8" i="45"/>
  <c r="P8" i="45"/>
  <c r="Q8" i="45"/>
  <c r="R8" i="45"/>
  <c r="S8" i="45"/>
  <c r="T8" i="45"/>
  <c r="U8" i="45"/>
  <c r="V8" i="45"/>
  <c r="N9" i="45"/>
  <c r="O9" i="45"/>
  <c r="P9" i="45"/>
  <c r="Q9" i="45"/>
  <c r="R9" i="45"/>
  <c r="S9" i="45"/>
  <c r="T9" i="45"/>
  <c r="U9" i="45"/>
  <c r="V9" i="45"/>
  <c r="N10" i="45"/>
  <c r="O10" i="45"/>
  <c r="P10" i="45"/>
  <c r="Q10" i="45"/>
  <c r="R10" i="45"/>
  <c r="S10" i="45"/>
  <c r="T10" i="45"/>
  <c r="U10" i="45"/>
  <c r="V10" i="45"/>
  <c r="N11" i="45"/>
  <c r="O11" i="45"/>
  <c r="P11" i="45"/>
  <c r="Q11" i="45"/>
  <c r="R11" i="45"/>
  <c r="S11" i="45"/>
  <c r="T11" i="45"/>
  <c r="U11" i="45"/>
  <c r="V11" i="45"/>
  <c r="M6" i="45"/>
  <c r="M7" i="45"/>
  <c r="M8" i="45"/>
  <c r="M9" i="45"/>
  <c r="M10" i="45"/>
  <c r="M11" i="45"/>
  <c r="M5" i="45"/>
  <c r="J4" i="45"/>
  <c r="J5" i="45"/>
  <c r="J6" i="45"/>
  <c r="J7" i="45"/>
  <c r="J8" i="45"/>
  <c r="J9" i="45"/>
  <c r="J10" i="45"/>
  <c r="J11" i="45"/>
  <c r="J12" i="45"/>
  <c r="J13" i="45"/>
  <c r="J14" i="45"/>
  <c r="J15" i="45"/>
  <c r="I5" i="45"/>
  <c r="I6" i="45"/>
  <c r="I7" i="45"/>
  <c r="I8" i="45"/>
  <c r="I9" i="45"/>
  <c r="I10" i="45"/>
  <c r="I11" i="45"/>
  <c r="I12" i="45"/>
  <c r="I13" i="45"/>
  <c r="I14" i="45"/>
  <c r="I15" i="45"/>
  <c r="I4" i="45"/>
  <c r="H12" i="42"/>
  <c r="H10" i="42"/>
  <c r="H9" i="42"/>
  <c r="E4" i="42"/>
  <c r="E5" i="42"/>
  <c r="E6" i="42"/>
  <c r="E7" i="42"/>
  <c r="E8" i="42"/>
  <c r="E9" i="42"/>
  <c r="E10" i="42"/>
  <c r="E11" i="42"/>
  <c r="E12" i="42"/>
  <c r="E13" i="42"/>
  <c r="E14" i="42"/>
  <c r="E15" i="42"/>
  <c r="E16" i="42"/>
  <c r="E17" i="42"/>
  <c r="E18" i="42"/>
  <c r="E19" i="42"/>
  <c r="E20" i="42"/>
  <c r="E21" i="42"/>
  <c r="E22" i="42"/>
  <c r="E23" i="42"/>
  <c r="E24" i="42"/>
  <c r="E25" i="42"/>
  <c r="E26" i="42"/>
  <c r="E27" i="42"/>
  <c r="E28" i="42"/>
  <c r="E29" i="42"/>
  <c r="E30" i="42"/>
  <c r="E31" i="42"/>
  <c r="E32" i="42"/>
  <c r="E33" i="42"/>
  <c r="E34" i="42"/>
  <c r="E35" i="42"/>
  <c r="E36" i="42"/>
  <c r="E37" i="42"/>
  <c r="E38" i="42"/>
  <c r="E39" i="42"/>
  <c r="E40" i="42"/>
  <c r="E3" i="42"/>
  <c r="L34" i="6"/>
  <c r="L46" i="6"/>
  <c r="L15" i="6"/>
  <c r="F3" i="38"/>
  <c r="F4" i="38"/>
  <c r="F5" i="38"/>
  <c r="F6" i="38"/>
  <c r="F7" i="38"/>
  <c r="F8" i="38"/>
  <c r="F9" i="38"/>
  <c r="F10" i="38"/>
  <c r="F11" i="38"/>
  <c r="F12" i="38"/>
  <c r="F13" i="38"/>
  <c r="F14" i="38"/>
  <c r="F15" i="38"/>
  <c r="F16" i="38"/>
  <c r="F17" i="38"/>
  <c r="F18" i="38"/>
  <c r="F19" i="38"/>
  <c r="F20" i="38"/>
  <c r="F21" i="38"/>
  <c r="F22" i="38"/>
  <c r="F23" i="38"/>
  <c r="F24" i="38"/>
  <c r="F25" i="38"/>
  <c r="F26" i="38"/>
  <c r="F27" i="38"/>
  <c r="F28" i="38"/>
  <c r="F29" i="38"/>
  <c r="F30" i="38"/>
  <c r="F31" i="38"/>
  <c r="F32" i="38"/>
  <c r="F33" i="38"/>
  <c r="F34" i="38"/>
  <c r="F35" i="38"/>
  <c r="E3" i="38"/>
  <c r="E4" i="38"/>
  <c r="E5" i="38"/>
  <c r="E6" i="38"/>
  <c r="E7" i="38"/>
  <c r="E8" i="38"/>
  <c r="E9" i="38"/>
  <c r="E10" i="38"/>
  <c r="E11" i="38"/>
  <c r="E12" i="38"/>
  <c r="E13" i="38"/>
  <c r="E14" i="38"/>
  <c r="E15" i="38"/>
  <c r="E16" i="38"/>
  <c r="E17" i="38"/>
  <c r="E18" i="38"/>
  <c r="E19" i="38"/>
  <c r="E20" i="38"/>
  <c r="E21" i="38"/>
  <c r="E22" i="38"/>
  <c r="E23" i="38"/>
  <c r="E24" i="38"/>
  <c r="E25" i="38"/>
  <c r="E26" i="38"/>
  <c r="E27" i="38"/>
  <c r="E28" i="38"/>
  <c r="E29" i="38"/>
  <c r="E30" i="38"/>
  <c r="E31" i="38"/>
  <c r="E32" i="38"/>
  <c r="E33" i="38"/>
  <c r="E34" i="38"/>
  <c r="E35" i="38"/>
  <c r="E2" i="38"/>
  <c r="M8" i="2"/>
  <c r="O17" i="34"/>
  <c r="O16" i="34"/>
  <c r="O15" i="34"/>
  <c r="H22" i="35"/>
  <c r="H23" i="35"/>
  <c r="H24" i="35"/>
  <c r="H25" i="35"/>
  <c r="H26" i="35"/>
  <c r="H27" i="35"/>
  <c r="H21" i="35"/>
  <c r="G27" i="35"/>
  <c r="G22" i="35"/>
  <c r="G23" i="35"/>
  <c r="G24" i="35"/>
  <c r="G25" i="35"/>
  <c r="G26" i="35"/>
  <c r="G21" i="35"/>
  <c r="F22" i="35"/>
  <c r="F23" i="35"/>
  <c r="F24" i="35"/>
  <c r="F25" i="35"/>
  <c r="F26" i="35"/>
  <c r="F27" i="35"/>
  <c r="F21" i="35"/>
  <c r="E22" i="35"/>
  <c r="E23" i="35"/>
  <c r="E24" i="35"/>
  <c r="E25" i="35"/>
  <c r="E26" i="35"/>
  <c r="E27" i="35"/>
  <c r="E21" i="35"/>
  <c r="H10" i="35"/>
  <c r="H9" i="35"/>
  <c r="G10" i="35"/>
  <c r="G9" i="35"/>
  <c r="F10" i="35"/>
  <c r="F9" i="35"/>
  <c r="O35" i="34"/>
  <c r="O36" i="34"/>
  <c r="O34" i="34"/>
  <c r="M35" i="34"/>
  <c r="M36" i="34"/>
  <c r="M34" i="34"/>
  <c r="Q25" i="34" a="1"/>
  <c r="Q25" i="34" s="1"/>
  <c r="P25" i="34" a="1"/>
  <c r="P25" i="34" s="1"/>
  <c r="O25" i="34" a="1"/>
  <c r="O25" i="34" s="1"/>
  <c r="F35" i="34"/>
  <c r="F34" i="34"/>
  <c r="I29" i="34"/>
  <c r="H29" i="34"/>
  <c r="G29" i="34"/>
  <c r="F29" i="34"/>
  <c r="F26" i="34"/>
  <c r="F24" i="34"/>
  <c r="F25" i="34"/>
  <c r="K9" i="34"/>
  <c r="J9" i="34"/>
  <c r="I9" i="34"/>
  <c r="H9" i="34"/>
  <c r="G9" i="34"/>
  <c r="F9" i="34"/>
  <c r="M29" i="19"/>
  <c r="F26" i="20"/>
  <c r="F27" i="20"/>
  <c r="F28" i="20"/>
  <c r="F29" i="20"/>
  <c r="F30" i="20"/>
  <c r="F31" i="20"/>
  <c r="F32" i="20"/>
  <c r="F33" i="20"/>
  <c r="F34" i="20"/>
  <c r="F25" i="20"/>
  <c r="D29" i="19"/>
  <c r="D10" i="18"/>
  <c r="C10" i="18"/>
  <c r="M30" i="19"/>
  <c r="N30" i="19"/>
  <c r="O30" i="19"/>
  <c r="P30" i="19"/>
  <c r="M31" i="19"/>
  <c r="N31" i="19"/>
  <c r="O31" i="19"/>
  <c r="P31" i="19"/>
  <c r="M32" i="19"/>
  <c r="N32" i="19"/>
  <c r="O32" i="19"/>
  <c r="P32" i="19"/>
  <c r="M33" i="19"/>
  <c r="N33" i="19"/>
  <c r="O33" i="19"/>
  <c r="P33" i="19"/>
  <c r="M34" i="19"/>
  <c r="N34" i="19"/>
  <c r="O34" i="19"/>
  <c r="P34" i="19"/>
  <c r="M35" i="19"/>
  <c r="N35" i="19"/>
  <c r="O35" i="19"/>
  <c r="P35" i="19"/>
  <c r="M36" i="19"/>
  <c r="N36" i="19"/>
  <c r="O36" i="19"/>
  <c r="P36" i="19"/>
  <c r="M37" i="19"/>
  <c r="N37" i="19"/>
  <c r="O37" i="19"/>
  <c r="P37" i="19"/>
  <c r="M38" i="19"/>
  <c r="N38" i="19"/>
  <c r="O38" i="19"/>
  <c r="P38" i="19"/>
  <c r="N29" i="19"/>
  <c r="O29" i="19"/>
  <c r="P29" i="19"/>
  <c r="D30" i="19"/>
  <c r="D31" i="19"/>
  <c r="D32" i="19"/>
  <c r="D33" i="19"/>
  <c r="D34" i="19"/>
  <c r="D35" i="19"/>
  <c r="D36" i="19"/>
  <c r="D37" i="19"/>
  <c r="T13" i="19"/>
  <c r="T14" i="19"/>
  <c r="T15" i="19"/>
  <c r="T16" i="19"/>
  <c r="T12" i="19"/>
  <c r="N19" i="19"/>
  <c r="N20" i="19"/>
  <c r="N21" i="19"/>
  <c r="N22" i="19"/>
  <c r="N18" i="19"/>
  <c r="M19" i="19"/>
  <c r="M20" i="19"/>
  <c r="M21" i="19"/>
  <c r="M22" i="19"/>
  <c r="M18" i="19"/>
  <c r="S13" i="19"/>
  <c r="S14" i="19"/>
  <c r="S15" i="19"/>
  <c r="S16" i="19"/>
  <c r="S12" i="19"/>
  <c r="R13" i="19"/>
  <c r="R14" i="19"/>
  <c r="R15" i="19"/>
  <c r="R16" i="19"/>
  <c r="R12" i="19"/>
  <c r="L19" i="19"/>
  <c r="L20" i="19"/>
  <c r="L21" i="19"/>
  <c r="L22" i="19"/>
  <c r="L18" i="19"/>
  <c r="G13" i="19"/>
  <c r="G14" i="19"/>
  <c r="G15" i="19"/>
  <c r="G16" i="19"/>
  <c r="G17" i="19"/>
  <c r="G12" i="19"/>
  <c r="F13" i="19"/>
  <c r="F14" i="19"/>
  <c r="F15" i="19"/>
  <c r="F16" i="19"/>
  <c r="F17" i="19"/>
  <c r="F12" i="19"/>
  <c r="E13" i="19"/>
  <c r="E14" i="19"/>
  <c r="E15" i="19"/>
  <c r="E16" i="19"/>
  <c r="E17" i="19"/>
  <c r="E12" i="19"/>
  <c r="D11" i="18"/>
  <c r="D12" i="18"/>
  <c r="D13" i="18"/>
  <c r="D14" i="18"/>
  <c r="D15" i="18"/>
  <c r="D16" i="18"/>
  <c r="C11" i="18"/>
  <c r="C12" i="18"/>
  <c r="C13" i="18"/>
  <c r="C14" i="18"/>
  <c r="C15" i="18"/>
  <c r="C16" i="18"/>
  <c r="B19" i="17"/>
  <c r="B20" i="17"/>
  <c r="B21" i="17"/>
  <c r="B22" i="17"/>
  <c r="B23" i="17"/>
  <c r="B24" i="17"/>
  <c r="B25" i="17"/>
  <c r="B26" i="17"/>
  <c r="B27" i="17"/>
  <c r="B28" i="17"/>
  <c r="B29" i="17"/>
  <c r="B30" i="17"/>
  <c r="B31" i="17"/>
  <c r="B32" i="17"/>
  <c r="B33" i="17"/>
  <c r="B34" i="17"/>
  <c r="B35" i="17"/>
  <c r="B36" i="17"/>
  <c r="B10" i="17"/>
  <c r="B11" i="17"/>
  <c r="B12" i="17"/>
  <c r="B13" i="17"/>
  <c r="B14" i="17"/>
  <c r="B15" i="17"/>
  <c r="B16" i="17"/>
  <c r="B17" i="17"/>
  <c r="B18" i="17"/>
  <c r="B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9" i="17"/>
  <c r="E8" i="12"/>
  <c r="D8" i="12"/>
  <c r="C8" i="12"/>
  <c r="E9" i="12"/>
  <c r="C10" i="15"/>
  <c r="D10" i="15"/>
  <c r="E10" i="15"/>
  <c r="F10" i="15"/>
  <c r="G10" i="15"/>
  <c r="H10" i="15"/>
  <c r="I10" i="15"/>
  <c r="J10" i="15"/>
  <c r="K10" i="15"/>
  <c r="L10" i="15"/>
  <c r="M10" i="15"/>
  <c r="N10" i="15"/>
  <c r="C11" i="15"/>
  <c r="D11" i="15"/>
  <c r="E11" i="15"/>
  <c r="F11" i="15"/>
  <c r="G11" i="15"/>
  <c r="H11" i="15"/>
  <c r="I11" i="15"/>
  <c r="J11" i="15"/>
  <c r="K11" i="15"/>
  <c r="L11" i="15"/>
  <c r="M11" i="15"/>
  <c r="N11" i="15"/>
  <c r="C12" i="15"/>
  <c r="D12" i="15"/>
  <c r="E12" i="15"/>
  <c r="F12" i="15"/>
  <c r="G12" i="15"/>
  <c r="H12" i="15"/>
  <c r="I12" i="15"/>
  <c r="J12" i="15"/>
  <c r="K12" i="15"/>
  <c r="L12" i="15"/>
  <c r="M12" i="15"/>
  <c r="N12" i="15"/>
  <c r="C13" i="15"/>
  <c r="D13" i="15"/>
  <c r="E13" i="15"/>
  <c r="F13" i="15"/>
  <c r="G13" i="15"/>
  <c r="H13" i="15"/>
  <c r="I13" i="15"/>
  <c r="J13" i="15"/>
  <c r="K13" i="15"/>
  <c r="L13" i="15"/>
  <c r="M13" i="15"/>
  <c r="N13" i="15"/>
  <c r="C14" i="15"/>
  <c r="D14" i="15"/>
  <c r="E14" i="15"/>
  <c r="F14" i="15"/>
  <c r="G14" i="15"/>
  <c r="H14" i="15"/>
  <c r="I14" i="15"/>
  <c r="J14" i="15"/>
  <c r="K14" i="15"/>
  <c r="L14" i="15"/>
  <c r="M14" i="15"/>
  <c r="N14" i="15"/>
  <c r="C15" i="15"/>
  <c r="D15" i="15"/>
  <c r="E15" i="15"/>
  <c r="F15" i="15"/>
  <c r="G15" i="15"/>
  <c r="H15" i="15"/>
  <c r="I15" i="15"/>
  <c r="J15" i="15"/>
  <c r="K15" i="15"/>
  <c r="L15" i="15"/>
  <c r="M15" i="15"/>
  <c r="N15" i="15"/>
  <c r="C16" i="15"/>
  <c r="D16" i="15"/>
  <c r="E16" i="15"/>
  <c r="F16" i="15"/>
  <c r="G16" i="15"/>
  <c r="H16" i="15"/>
  <c r="I16" i="15"/>
  <c r="J16" i="15"/>
  <c r="K16" i="15"/>
  <c r="L16" i="15"/>
  <c r="M16" i="15"/>
  <c r="N16" i="15"/>
  <c r="C17" i="15"/>
  <c r="D17" i="15"/>
  <c r="E17" i="15"/>
  <c r="F17" i="15"/>
  <c r="G17" i="15"/>
  <c r="H17" i="15"/>
  <c r="I17" i="15"/>
  <c r="J17" i="15"/>
  <c r="K17" i="15"/>
  <c r="L17" i="15"/>
  <c r="M17" i="15"/>
  <c r="N17" i="15"/>
  <c r="C18" i="15"/>
  <c r="D18" i="15"/>
  <c r="E18" i="15"/>
  <c r="F18" i="15"/>
  <c r="G18" i="15"/>
  <c r="H18" i="15"/>
  <c r="I18" i="15"/>
  <c r="J18" i="15"/>
  <c r="K18" i="15"/>
  <c r="L18" i="15"/>
  <c r="M18" i="15"/>
  <c r="N18" i="15"/>
  <c r="C19" i="15"/>
  <c r="D19" i="15"/>
  <c r="E19" i="15"/>
  <c r="F19" i="15"/>
  <c r="G19" i="15"/>
  <c r="H19" i="15"/>
  <c r="I19" i="15"/>
  <c r="J19" i="15"/>
  <c r="K19" i="15"/>
  <c r="L19" i="15"/>
  <c r="M19" i="15"/>
  <c r="N19" i="15"/>
  <c r="C20" i="15"/>
  <c r="D20" i="15"/>
  <c r="E20" i="15"/>
  <c r="F20" i="15"/>
  <c r="G20" i="15"/>
  <c r="H20" i="15"/>
  <c r="I20" i="15"/>
  <c r="J20" i="15"/>
  <c r="K20" i="15"/>
  <c r="L20" i="15"/>
  <c r="M20" i="15"/>
  <c r="N20" i="15"/>
  <c r="C21" i="15"/>
  <c r="D21" i="15"/>
  <c r="E21" i="15"/>
  <c r="F21" i="15"/>
  <c r="G21" i="15"/>
  <c r="H21" i="15"/>
  <c r="I21" i="15"/>
  <c r="J21" i="15"/>
  <c r="K21" i="15"/>
  <c r="L21" i="15"/>
  <c r="M21" i="15"/>
  <c r="N21" i="15"/>
  <c r="C22" i="15"/>
  <c r="D22" i="15"/>
  <c r="E22" i="15"/>
  <c r="F22" i="15"/>
  <c r="G22" i="15"/>
  <c r="H22" i="15"/>
  <c r="I22" i="15"/>
  <c r="J22" i="15"/>
  <c r="K22" i="15"/>
  <c r="L22" i="15"/>
  <c r="M22" i="15"/>
  <c r="N22" i="15"/>
  <c r="C23" i="15"/>
  <c r="D23" i="15"/>
  <c r="E23" i="15"/>
  <c r="F23" i="15"/>
  <c r="G23" i="15"/>
  <c r="H23" i="15"/>
  <c r="I23" i="15"/>
  <c r="J23" i="15"/>
  <c r="K23" i="15"/>
  <c r="L23" i="15"/>
  <c r="M23" i="15"/>
  <c r="N23" i="15"/>
  <c r="C24" i="15"/>
  <c r="D24" i="15"/>
  <c r="E24" i="15"/>
  <c r="F24" i="15"/>
  <c r="G24" i="15"/>
  <c r="H24" i="15"/>
  <c r="I24" i="15"/>
  <c r="J24" i="15"/>
  <c r="K24" i="15"/>
  <c r="L24" i="15"/>
  <c r="M24" i="15"/>
  <c r="N24" i="15"/>
  <c r="C25" i="15"/>
  <c r="D25" i="15"/>
  <c r="E25" i="15"/>
  <c r="F25" i="15"/>
  <c r="G25" i="15"/>
  <c r="H25" i="15"/>
  <c r="I25" i="15"/>
  <c r="J25" i="15"/>
  <c r="K25" i="15"/>
  <c r="L25" i="15"/>
  <c r="M25" i="15"/>
  <c r="N25" i="15"/>
  <c r="C26" i="15"/>
  <c r="D26" i="15"/>
  <c r="E26" i="15"/>
  <c r="F26" i="15"/>
  <c r="G26" i="15"/>
  <c r="H26" i="15"/>
  <c r="I26" i="15"/>
  <c r="J26" i="15"/>
  <c r="K26" i="15"/>
  <c r="L26" i="15"/>
  <c r="M26" i="15"/>
  <c r="N26" i="15"/>
  <c r="C27" i="15"/>
  <c r="D27" i="15"/>
  <c r="E27" i="15"/>
  <c r="F27" i="15"/>
  <c r="G27" i="15"/>
  <c r="H27" i="15"/>
  <c r="I27" i="15"/>
  <c r="J27" i="15"/>
  <c r="K27" i="15"/>
  <c r="L27" i="15"/>
  <c r="M27" i="15"/>
  <c r="N27" i="15"/>
  <c r="C28" i="15"/>
  <c r="D28" i="15"/>
  <c r="E28" i="15"/>
  <c r="F28" i="15"/>
  <c r="G28" i="15"/>
  <c r="H28" i="15"/>
  <c r="I28" i="15"/>
  <c r="J28" i="15"/>
  <c r="K28" i="15"/>
  <c r="L28" i="15"/>
  <c r="M28" i="15"/>
  <c r="N28" i="15"/>
  <c r="C29" i="15"/>
  <c r="D29" i="15"/>
  <c r="E29" i="15"/>
  <c r="F29" i="15"/>
  <c r="G29" i="15"/>
  <c r="H29" i="15"/>
  <c r="I29" i="15"/>
  <c r="J29" i="15"/>
  <c r="K29" i="15"/>
  <c r="L29" i="15"/>
  <c r="M29" i="15"/>
  <c r="N29" i="15"/>
  <c r="C30" i="15"/>
  <c r="D30" i="15"/>
  <c r="E30" i="15"/>
  <c r="F30" i="15"/>
  <c r="G30" i="15"/>
  <c r="H30" i="15"/>
  <c r="I30" i="15"/>
  <c r="J30" i="15"/>
  <c r="K30" i="15"/>
  <c r="L30" i="15"/>
  <c r="M30" i="15"/>
  <c r="N30" i="15"/>
  <c r="C31" i="15"/>
  <c r="D31" i="15"/>
  <c r="E31" i="15"/>
  <c r="F31" i="15"/>
  <c r="G31" i="15"/>
  <c r="H31" i="15"/>
  <c r="I31" i="15"/>
  <c r="J31" i="15"/>
  <c r="K31" i="15"/>
  <c r="L31" i="15"/>
  <c r="M31" i="15"/>
  <c r="N31" i="15"/>
  <c r="C32" i="15"/>
  <c r="D32" i="15"/>
  <c r="E32" i="15"/>
  <c r="F32" i="15"/>
  <c r="G32" i="15"/>
  <c r="H32" i="15"/>
  <c r="I32" i="15"/>
  <c r="J32" i="15"/>
  <c r="K32" i="15"/>
  <c r="L32" i="15"/>
  <c r="M32" i="15"/>
  <c r="N32" i="15"/>
  <c r="C33" i="15"/>
  <c r="D33" i="15"/>
  <c r="E33" i="15"/>
  <c r="F33" i="15"/>
  <c r="G33" i="15"/>
  <c r="H33" i="15"/>
  <c r="I33" i="15"/>
  <c r="J33" i="15"/>
  <c r="K33" i="15"/>
  <c r="L33" i="15"/>
  <c r="M33" i="15"/>
  <c r="N33" i="15"/>
  <c r="C34" i="15"/>
  <c r="D34" i="15"/>
  <c r="E34" i="15"/>
  <c r="F34" i="15"/>
  <c r="G34" i="15"/>
  <c r="H34" i="15"/>
  <c r="I34" i="15"/>
  <c r="J34" i="15"/>
  <c r="K34" i="15"/>
  <c r="L34" i="15"/>
  <c r="M34" i="15"/>
  <c r="N34" i="15"/>
  <c r="C35" i="15"/>
  <c r="D35" i="15"/>
  <c r="E35" i="15"/>
  <c r="F35" i="15"/>
  <c r="G35" i="15"/>
  <c r="H35" i="15"/>
  <c r="I35" i="15"/>
  <c r="J35" i="15"/>
  <c r="K35" i="15"/>
  <c r="L35" i="15"/>
  <c r="M35" i="15"/>
  <c r="N35" i="15"/>
  <c r="C36" i="15"/>
  <c r="D36" i="15"/>
  <c r="E36" i="15"/>
  <c r="F36" i="15"/>
  <c r="G36" i="15"/>
  <c r="H36" i="15"/>
  <c r="I36" i="15"/>
  <c r="J36" i="15"/>
  <c r="K36" i="15"/>
  <c r="L36" i="15"/>
  <c r="M36" i="15"/>
  <c r="N36" i="15"/>
  <c r="C37" i="15"/>
  <c r="D37" i="15"/>
  <c r="E37" i="15"/>
  <c r="F37" i="15"/>
  <c r="G37" i="15"/>
  <c r="H37" i="15"/>
  <c r="I37" i="15"/>
  <c r="J37" i="15"/>
  <c r="K37" i="15"/>
  <c r="L37" i="15"/>
  <c r="M37" i="15"/>
  <c r="N37" i="15"/>
  <c r="D9" i="15"/>
  <c r="E9" i="15"/>
  <c r="F9" i="15"/>
  <c r="G9" i="15"/>
  <c r="H9" i="15"/>
  <c r="I9" i="15"/>
  <c r="J9" i="15"/>
  <c r="K9" i="15"/>
  <c r="L9" i="15"/>
  <c r="M9" i="15"/>
  <c r="N9" i="15"/>
  <c r="C9" i="15"/>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I20" i="10" a="1"/>
  <c r="I20" i="10" s="1"/>
  <c r="D8" i="10" a="1"/>
  <c r="D8" i="10" s="1"/>
  <c r="D26" i="9"/>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9" i="11"/>
  <c r="N8" i="11"/>
  <c r="M9" i="11"/>
  <c r="M10" i="11"/>
  <c r="M11" i="11"/>
  <c r="M12" i="11"/>
  <c r="M13" i="11"/>
  <c r="M14" i="11"/>
  <c r="M15" i="11"/>
  <c r="M16" i="11"/>
  <c r="M17" i="11"/>
  <c r="M18" i="11"/>
  <c r="M19" i="11"/>
  <c r="M20" i="11"/>
  <c r="M21" i="11"/>
  <c r="M22" i="11"/>
  <c r="M23" i="11"/>
  <c r="M24" i="11"/>
  <c r="M25" i="11"/>
  <c r="M26" i="11"/>
  <c r="M27" i="11"/>
  <c r="M28" i="11"/>
  <c r="M29" i="11"/>
  <c r="M30" i="11"/>
  <c r="M31" i="11"/>
  <c r="M32" i="11"/>
  <c r="M33" i="11"/>
  <c r="M34" i="11"/>
  <c r="M35" i="11"/>
  <c r="M36" i="11"/>
  <c r="M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8" i="11"/>
  <c r="D8" i="4"/>
  <c r="E26" i="9"/>
  <c r="F26" i="9"/>
  <c r="G26" i="9"/>
  <c r="H26" i="9"/>
  <c r="K11" i="9"/>
  <c r="L13" i="7"/>
  <c r="L11" i="7"/>
  <c r="L27" i="6"/>
  <c r="L21" i="6"/>
  <c r="U27" i="4"/>
  <c r="U25" i="4"/>
  <c r="T12" i="4"/>
  <c r="T11" i="4"/>
  <c r="T10" i="4"/>
  <c r="N23" i="4"/>
  <c r="N22" i="4"/>
  <c r="N18" i="4"/>
  <c r="N17" i="4"/>
  <c r="N15" i="4"/>
  <c r="N14" i="4"/>
  <c r="N13" i="4"/>
  <c r="N11" i="4"/>
  <c r="N10" i="4"/>
  <c r="N9" i="4"/>
  <c r="D24" i="4"/>
  <c r="D23" i="4"/>
  <c r="D22" i="4"/>
  <c r="D21" i="4"/>
  <c r="D17" i="4"/>
  <c r="D16" i="4"/>
  <c r="D15" i="4"/>
  <c r="D14" i="4"/>
  <c r="D9" i="4"/>
  <c r="P9" i="2"/>
  <c r="P10" i="2"/>
  <c r="P11" i="2"/>
  <c r="P12" i="2"/>
  <c r="P13" i="2"/>
  <c r="P14" i="2"/>
  <c r="P15" i="2"/>
  <c r="P16" i="2"/>
  <c r="P17" i="2"/>
  <c r="P8" i="2"/>
  <c r="O9" i="2"/>
  <c r="O10" i="2"/>
  <c r="O11" i="2"/>
  <c r="O12" i="2"/>
  <c r="O13" i="2"/>
  <c r="O14" i="2"/>
  <c r="O15" i="2"/>
  <c r="O16" i="2"/>
  <c r="O17" i="2"/>
  <c r="O8" i="2"/>
  <c r="M9" i="2"/>
  <c r="M17" i="2"/>
  <c r="L9" i="2"/>
  <c r="R9" i="2" s="1"/>
  <c r="L10" i="2"/>
  <c r="S10" i="2" s="1"/>
  <c r="L11" i="2"/>
  <c r="R11" i="2" s="1"/>
  <c r="L12" i="2"/>
  <c r="R12" i="2" s="1"/>
  <c r="L13" i="2"/>
  <c r="R13" i="2" s="1"/>
  <c r="L14" i="2"/>
  <c r="S14" i="2" s="1"/>
  <c r="L15" i="2"/>
  <c r="R15" i="2" s="1"/>
  <c r="L16" i="2"/>
  <c r="R16" i="2" s="1"/>
  <c r="L17" i="2"/>
  <c r="R17" i="2" s="1"/>
  <c r="L8" i="2"/>
  <c r="S8" i="2" s="1"/>
  <c r="E22" i="1"/>
  <c r="E24" i="1"/>
  <c r="E23" i="1"/>
  <c r="E21" i="1"/>
  <c r="E20" i="1"/>
  <c r="E19" i="1"/>
  <c r="E18" i="1"/>
  <c r="E17" i="1"/>
  <c r="E16" i="1"/>
  <c r="E15" i="1"/>
  <c r="E14" i="1"/>
  <c r="E13" i="1"/>
  <c r="E12" i="1"/>
  <c r="E11" i="1"/>
  <c r="E10" i="1"/>
  <c r="E9" i="1"/>
  <c r="E8" i="1"/>
  <c r="H31" i="34"/>
  <c r="G34" i="34"/>
  <c r="X17" i="4"/>
  <c r="G35" i="34"/>
  <c r="M20" i="5"/>
  <c r="M32" i="5"/>
  <c r="M46" i="6"/>
  <c r="F16" i="4"/>
  <c r="N11" i="7"/>
  <c r="F8" i="4"/>
  <c r="G26" i="34"/>
  <c r="P14" i="4"/>
  <c r="V11" i="4"/>
  <c r="F9" i="4"/>
  <c r="V27" i="4"/>
  <c r="F12" i="35"/>
  <c r="P31" i="34"/>
  <c r="M15" i="6"/>
  <c r="P13" i="4"/>
  <c r="I31" i="34"/>
  <c r="F14" i="4"/>
  <c r="P17" i="4"/>
  <c r="M40" i="5"/>
  <c r="G24" i="34"/>
  <c r="F23" i="4"/>
  <c r="P9" i="4"/>
  <c r="P23" i="4"/>
  <c r="G25" i="34"/>
  <c r="M14" i="5"/>
  <c r="Q17" i="34"/>
  <c r="P22" i="4"/>
  <c r="M27" i="6"/>
  <c r="G11" i="34"/>
  <c r="F15" i="4"/>
  <c r="F24" i="4"/>
  <c r="N13" i="7"/>
  <c r="M21" i="6"/>
  <c r="Q31" i="34"/>
  <c r="V12" i="4"/>
  <c r="F22" i="4"/>
  <c r="O31" i="34"/>
  <c r="F21" i="4"/>
  <c r="O20" i="10"/>
  <c r="P10" i="4"/>
  <c r="M34" i="6"/>
  <c r="P15" i="4"/>
  <c r="L36" i="3"/>
  <c r="P18" i="4"/>
  <c r="H11" i="34"/>
  <c r="G31" i="34"/>
  <c r="Q15" i="34"/>
  <c r="L22" i="3"/>
  <c r="K11" i="34"/>
  <c r="I11" i="34"/>
  <c r="F17" i="4"/>
  <c r="M41" i="6"/>
  <c r="F11" i="34"/>
  <c r="V25" i="4"/>
  <c r="Q16" i="34"/>
  <c r="F9" i="10"/>
  <c r="L29" i="3"/>
  <c r="M26" i="5"/>
  <c r="H12" i="35"/>
  <c r="P11" i="4"/>
  <c r="J11" i="34"/>
  <c r="V10" i="4"/>
  <c r="F31" i="34"/>
  <c r="G12" i="35"/>
  <c r="M11" i="9"/>
  <c r="L16" i="3"/>
  <c r="E33" i="21" l="1"/>
  <c r="F29" i="21"/>
  <c r="F25" i="21"/>
  <c r="E21" i="21"/>
  <c r="F17" i="21"/>
  <c r="F37" i="21"/>
  <c r="F13" i="21"/>
  <c r="F30" i="21"/>
  <c r="F14" i="21"/>
  <c r="E26" i="21"/>
  <c r="E10" i="21"/>
  <c r="E27" i="21"/>
  <c r="E23" i="21"/>
  <c r="F34" i="21"/>
  <c r="F18" i="21"/>
  <c r="F22" i="21"/>
  <c r="F9" i="21"/>
  <c r="G33" i="53"/>
  <c r="G25" i="53"/>
  <c r="G17" i="53"/>
  <c r="E32" i="53"/>
  <c r="E16" i="53"/>
  <c r="E28" i="53"/>
  <c r="E12" i="53"/>
  <c r="G24" i="53"/>
  <c r="G37" i="53"/>
  <c r="G29" i="53"/>
  <c r="G21" i="53"/>
  <c r="G13" i="53"/>
  <c r="E36" i="53"/>
  <c r="E20" i="53"/>
  <c r="E35" i="53"/>
  <c r="E31" i="53"/>
  <c r="E27" i="53"/>
  <c r="E23" i="53"/>
  <c r="E19" i="53"/>
  <c r="E15" i="53"/>
  <c r="E11" i="53"/>
  <c r="E9" i="53"/>
  <c r="E34" i="53"/>
  <c r="E30" i="53"/>
  <c r="E26" i="53"/>
  <c r="E22" i="53"/>
  <c r="E18" i="53"/>
  <c r="E14" i="53"/>
  <c r="E10" i="53"/>
  <c r="K16" i="33"/>
  <c r="N16" i="33" s="1"/>
  <c r="K19" i="33"/>
  <c r="N19" i="33" s="1"/>
  <c r="K20" i="33"/>
  <c r="N20" i="33" s="1"/>
  <c r="K12" i="33"/>
  <c r="N12" i="33" s="1"/>
  <c r="AI21" i="32"/>
  <c r="AI17" i="32"/>
  <c r="AI13" i="32"/>
  <c r="M16" i="2"/>
  <c r="S17" i="2"/>
  <c r="S9" i="2"/>
  <c r="M13" i="2"/>
  <c r="S16" i="2"/>
  <c r="S12" i="2"/>
  <c r="M12" i="2"/>
  <c r="S13" i="2"/>
  <c r="R8" i="2"/>
  <c r="R10" i="2"/>
  <c r="M15" i="2"/>
  <c r="N15" i="2" s="1"/>
  <c r="M11" i="2"/>
  <c r="N17" i="2"/>
  <c r="N13" i="2"/>
  <c r="N9" i="2"/>
  <c r="S15" i="2"/>
  <c r="S11" i="2"/>
  <c r="N8" i="2"/>
  <c r="R14" i="2"/>
  <c r="M14" i="2"/>
  <c r="M10" i="2"/>
  <c r="Q17" i="2" s="1"/>
  <c r="N16" i="2"/>
  <c r="N12" i="2"/>
  <c r="Q14" i="2" l="1"/>
  <c r="Q9" i="2"/>
  <c r="Q11" i="2"/>
  <c r="N14" i="2"/>
  <c r="Q12" i="2"/>
  <c r="N11" i="2"/>
  <c r="Q10" i="2"/>
  <c r="N10" i="2"/>
  <c r="Q15" i="2"/>
  <c r="Q16" i="2"/>
  <c r="Q1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<sst xmlns="http://schemas.openxmlformats.org/spreadsheetml/2006/main" count="2540" uniqueCount="618">
  <si>
    <t>PI</t>
  </si>
  <si>
    <t>NOW</t>
  </si>
  <si>
    <t>TODAY</t>
  </si>
  <si>
    <t>ROW</t>
  </si>
  <si>
    <t>COLUMN</t>
  </si>
  <si>
    <t>RAND</t>
  </si>
  <si>
    <t>RANDBETWEEN</t>
  </si>
  <si>
    <t>LEN</t>
  </si>
  <si>
    <t>MAX</t>
  </si>
  <si>
    <t>MIN</t>
  </si>
  <si>
    <t>AVERAGE</t>
  </si>
  <si>
    <t>UPPER</t>
  </si>
  <si>
    <t>LOWER</t>
  </si>
  <si>
    <t>PROPER</t>
  </si>
  <si>
    <t>COUNT</t>
  </si>
  <si>
    <t>COUNTA</t>
  </si>
  <si>
    <t>COUNTBLANK</t>
  </si>
  <si>
    <t>NAME</t>
  </si>
  <si>
    <t>MATHS</t>
  </si>
  <si>
    <t>HINDI</t>
  </si>
  <si>
    <t>ENGLISH</t>
  </si>
  <si>
    <t>SCIENCE</t>
  </si>
  <si>
    <t>HISTORY</t>
  </si>
  <si>
    <t>TOTAL</t>
  </si>
  <si>
    <t>PERCENTAGE</t>
  </si>
  <si>
    <t>RANK</t>
  </si>
  <si>
    <t>PASS/FAIL</t>
  </si>
  <si>
    <t>GRADE</t>
  </si>
  <si>
    <t>SANJANA</t>
  </si>
  <si>
    <t>KOMAL</t>
  </si>
  <si>
    <t>SHANMUGHAM</t>
  </si>
  <si>
    <t>MOHAN</t>
  </si>
  <si>
    <t>CHETNA</t>
  </si>
  <si>
    <t>CHARU</t>
  </si>
  <si>
    <t>ASHIKA</t>
  </si>
  <si>
    <t>PERUMAL</t>
  </si>
  <si>
    <t>SID</t>
  </si>
  <si>
    <t>YASH</t>
  </si>
  <si>
    <t>JASH</t>
  </si>
  <si>
    <t>SALES PERSON NAME</t>
  </si>
  <si>
    <t>GAURAV</t>
  </si>
  <si>
    <t>RASHMI</t>
  </si>
  <si>
    <t>NATO</t>
  </si>
  <si>
    <t>POOJA</t>
  </si>
  <si>
    <t>JASHWANT</t>
  </si>
  <si>
    <t>SHREYA</t>
  </si>
  <si>
    <t>SHANUMGHAM</t>
  </si>
  <si>
    <t>APPLE</t>
  </si>
  <si>
    <t>SONY</t>
  </si>
  <si>
    <t>REDMI</t>
  </si>
  <si>
    <t>OPPO</t>
  </si>
  <si>
    <t>NOTHING</t>
  </si>
  <si>
    <t>MOTOROLA</t>
  </si>
  <si>
    <t>SAMSUNG</t>
  </si>
  <si>
    <t>VIVO</t>
  </si>
  <si>
    <t>DELHI</t>
  </si>
  <si>
    <t>MUMBAI</t>
  </si>
  <si>
    <t>PUNE</t>
  </si>
  <si>
    <t>MP</t>
  </si>
  <si>
    <t>UTTAR PRADESH</t>
  </si>
  <si>
    <t>PUNJAB</t>
  </si>
  <si>
    <t>BANGLORE</t>
  </si>
  <si>
    <t>CHENNAI</t>
  </si>
  <si>
    <t>KERALA</t>
  </si>
  <si>
    <t>1. EDATE &amp; EOMONTH</t>
  </si>
  <si>
    <t>3.DATE SEPERATION</t>
  </si>
  <si>
    <t>2.TIME SEPERATION</t>
  </si>
  <si>
    <t>4.TEXT FORMULA</t>
  </si>
  <si>
    <t>DD</t>
  </si>
  <si>
    <t>DDD</t>
  </si>
  <si>
    <t>DDDD</t>
  </si>
  <si>
    <t>MM</t>
  </si>
  <si>
    <t>MMM</t>
  </si>
  <si>
    <t>MMMM</t>
  </si>
  <si>
    <t>YY</t>
  </si>
  <si>
    <t>YYYY</t>
  </si>
  <si>
    <t>5.WEEKDAY &amp;WEEKNUM</t>
  </si>
  <si>
    <t>SUNDAY</t>
  </si>
  <si>
    <t>MONDAY</t>
  </si>
  <si>
    <t>TUESDAY</t>
  </si>
  <si>
    <t>WEDNESDAY</t>
  </si>
  <si>
    <t>THURSDAY</t>
  </si>
  <si>
    <t>FRIDAY</t>
  </si>
  <si>
    <t>SATURDAY</t>
  </si>
  <si>
    <t>6.DATEDIF</t>
  </si>
  <si>
    <t>START DATE</t>
  </si>
  <si>
    <t>END DATE</t>
  </si>
  <si>
    <t>7.TIME OUT</t>
  </si>
  <si>
    <t>LOGIN TIME</t>
  </si>
  <si>
    <t>HOUR</t>
  </si>
  <si>
    <t>MINUTE</t>
  </si>
  <si>
    <t>SECOND</t>
  </si>
  <si>
    <t>LOGOUT</t>
  </si>
  <si>
    <t>8.NETWORKDAYS</t>
  </si>
  <si>
    <t xml:space="preserve">CITY </t>
  </si>
  <si>
    <t>PRODUCT</t>
  </si>
  <si>
    <t>MONTHLY SALES</t>
  </si>
  <si>
    <t>USE FORMUL A COUNT</t>
  </si>
  <si>
    <t>COUNTIFS</t>
  </si>
  <si>
    <t xml:space="preserve">TOTAL NO DATE/RECORDS IF </t>
  </si>
  <si>
    <t>NAME = SANJANA &amp; CITY = DELHI</t>
  </si>
  <si>
    <t>SALES PRICE&gt;5000 &amp; PRODUCT =REDMI</t>
  </si>
  <si>
    <t>CITY = DELHI &amp; NAME= KOMAL</t>
  </si>
  <si>
    <t xml:space="preserve">SUM OF SALES IF </t>
  </si>
  <si>
    <t>NAME = KOMAL</t>
  </si>
  <si>
    <t>PRODUCT =APPLE</t>
  </si>
  <si>
    <t>PRODUCT = APPLE &amp; SALES &gt;5000</t>
  </si>
  <si>
    <t>NAME = SANJANA &amp; SALES&lt;5000</t>
  </si>
  <si>
    <t>NAME = SANJANA ,PRODUCT  = APPLE</t>
  </si>
  <si>
    <t>CITY = DELHI &amp; SALES&gt;5000</t>
  </si>
  <si>
    <t>SUMIF &amp; SUMIFS</t>
  </si>
  <si>
    <t>AVERAGE OF SALES IF</t>
  </si>
  <si>
    <t>PRODUCT = APPLE</t>
  </si>
  <si>
    <t>PRODUCT = APPLE &amp; SALES &gt; 5000</t>
  </si>
  <si>
    <t>NAME= MOHAN &amp; SALES &gt;5000</t>
  </si>
  <si>
    <t>NAME = SANJANA &amp; SALES &lt; 5000</t>
  </si>
  <si>
    <t>NAME = KOMAL , PRODUCT = APPLE ,CITY= DELHI &amp;SALES&gt; 5000</t>
  </si>
  <si>
    <t xml:space="preserve">NAME = KOMAL </t>
  </si>
  <si>
    <t>&gt;5000 AND &lt; 10000</t>
  </si>
  <si>
    <t>NAME = SANJANA &amp; SALES = 4500</t>
  </si>
  <si>
    <t>1.VLOOKUP</t>
  </si>
  <si>
    <t>SALES</t>
  </si>
  <si>
    <t>DATE</t>
  </si>
  <si>
    <t>CITY</t>
  </si>
  <si>
    <t>SALARY</t>
  </si>
  <si>
    <t>AGE</t>
  </si>
  <si>
    <t>2.VLOOKUP MATCH</t>
  </si>
  <si>
    <t>1.HLOOKUP</t>
  </si>
  <si>
    <t xml:space="preserve">SALARY </t>
  </si>
  <si>
    <t xml:space="preserve"> JASHWANT</t>
  </si>
  <si>
    <t xml:space="preserve"> SID</t>
  </si>
  <si>
    <t xml:space="preserve"> RASHMI</t>
  </si>
  <si>
    <t xml:space="preserve"> SANJANA</t>
  </si>
  <si>
    <t xml:space="preserve"> KOMAL</t>
  </si>
  <si>
    <t xml:space="preserve"> CHETNA</t>
  </si>
  <si>
    <t xml:space="preserve"> NATO</t>
  </si>
  <si>
    <t xml:space="preserve"> MOHAN</t>
  </si>
  <si>
    <t xml:space="preserve"> POOJA</t>
  </si>
  <si>
    <t>KARAN</t>
  </si>
  <si>
    <t xml:space="preserve"> </t>
  </si>
  <si>
    <t>ITEM ID</t>
  </si>
  <si>
    <t xml:space="preserve">ITEM NAME </t>
  </si>
  <si>
    <t>QTY</t>
  </si>
  <si>
    <t>PRICE</t>
  </si>
  <si>
    <t>AMOUNT</t>
  </si>
  <si>
    <t>SCANNER</t>
  </si>
  <si>
    <t>MOUSE</t>
  </si>
  <si>
    <t>KEYBOARD</t>
  </si>
  <si>
    <t>HARDDISK</t>
  </si>
  <si>
    <t>RAM</t>
  </si>
  <si>
    <t>SSD</t>
  </si>
  <si>
    <t>CPU</t>
  </si>
  <si>
    <t>PRINTER</t>
  </si>
  <si>
    <t>1.MATCH</t>
  </si>
  <si>
    <t>S.NO</t>
  </si>
  <si>
    <t>EVEN NO</t>
  </si>
  <si>
    <t>ODD NO</t>
  </si>
  <si>
    <t>PRINT NAME WITH (I)</t>
  </si>
  <si>
    <t>NAME START WITH CAPITAL (A)</t>
  </si>
  <si>
    <t>PRINT NAME START WITH (S)</t>
  </si>
  <si>
    <t>JAN</t>
  </si>
  <si>
    <t>FEB</t>
  </si>
  <si>
    <t>MAR</t>
  </si>
  <si>
    <t>APR</t>
  </si>
  <si>
    <t>MAY</t>
  </si>
  <si>
    <t>JUN</t>
  </si>
  <si>
    <t>JUL</t>
  </si>
  <si>
    <t>AUG</t>
  </si>
  <si>
    <t>SEP</t>
  </si>
  <si>
    <t>OCT</t>
  </si>
  <si>
    <t>NOV</t>
  </si>
  <si>
    <t>DEC</t>
  </si>
  <si>
    <t>|</t>
  </si>
  <si>
    <t>ì</t>
  </si>
  <si>
    <t>ìì</t>
  </si>
  <si>
    <t>ììì</t>
  </si>
  <si>
    <t>ìììì</t>
  </si>
  <si>
    <t>ììììì</t>
  </si>
  <si>
    <t>FIRST WAY</t>
  </si>
  <si>
    <t>LEFT</t>
  </si>
  <si>
    <t>RIGHT</t>
  </si>
  <si>
    <t>MID</t>
  </si>
  <si>
    <t xml:space="preserve">SECOND WAY </t>
  </si>
  <si>
    <t>FULL NAME</t>
  </si>
  <si>
    <t>BANK NAME</t>
  </si>
  <si>
    <t xml:space="preserve">PIN </t>
  </si>
  <si>
    <t>SBI123456DEL</t>
  </si>
  <si>
    <t>ICICI234567MUM</t>
  </si>
  <si>
    <t>KOTAK345678PUN</t>
  </si>
  <si>
    <t>HDFC456789BIH</t>
  </si>
  <si>
    <t>THIRD WAY</t>
  </si>
  <si>
    <t>MR NARENDRA MODI</t>
  </si>
  <si>
    <t>MR ARVIND KEJRIWAL</t>
  </si>
  <si>
    <t>SHIVANI.SINGH</t>
  </si>
  <si>
    <t>VISHAL.RAJPOOT</t>
  </si>
  <si>
    <t>MR</t>
  </si>
  <si>
    <t>NARENDRA</t>
  </si>
  <si>
    <t>MODI</t>
  </si>
  <si>
    <t>ARVIND</t>
  </si>
  <si>
    <t>KEJRIWAL</t>
  </si>
  <si>
    <t>SHIVANI</t>
  </si>
  <si>
    <t>SINGH</t>
  </si>
  <si>
    <t>VISHAL</t>
  </si>
  <si>
    <t>RAJPOOT</t>
  </si>
  <si>
    <t>LARGE</t>
  </si>
  <si>
    <t>SMALL</t>
  </si>
  <si>
    <t>TOP HIGEST NUMBER</t>
  </si>
  <si>
    <t>TOP BOTTEM NUMBER</t>
  </si>
  <si>
    <t>TABLE 1.</t>
  </si>
  <si>
    <t>MARKS</t>
  </si>
  <si>
    <t>DIVISION</t>
  </si>
  <si>
    <t>TABLE 3.</t>
  </si>
  <si>
    <t>TABLE 2.</t>
  </si>
  <si>
    <t>SANA</t>
  </si>
  <si>
    <t>SUNALI</t>
  </si>
  <si>
    <t>PREETI</t>
  </si>
  <si>
    <t>IF</t>
  </si>
  <si>
    <t>COMMISSION</t>
  </si>
  <si>
    <t>REGION</t>
  </si>
  <si>
    <t>ITEM</t>
  </si>
  <si>
    <t>UNITS</t>
  </si>
  <si>
    <t>UNIT COST</t>
  </si>
  <si>
    <t>TOTAL COST</t>
  </si>
  <si>
    <t>TOTAL SALES</t>
  </si>
  <si>
    <t>EAST</t>
  </si>
  <si>
    <t>WEST</t>
  </si>
  <si>
    <t>CENTRAL</t>
  </si>
  <si>
    <t>PEN</t>
  </si>
  <si>
    <t>MARKER</t>
  </si>
  <si>
    <t>BLINDER</t>
  </si>
  <si>
    <t>IF WITH AND</t>
  </si>
  <si>
    <t>IF WITH OR</t>
  </si>
  <si>
    <t>PASSING MARKS,50</t>
  </si>
  <si>
    <t>MONITOR</t>
  </si>
  <si>
    <t>IF/AND ,IF/OR MORE THEN 500 THEN GIVE 5%</t>
  </si>
  <si>
    <t>QA. AND</t>
  </si>
  <si>
    <t>QB,OR</t>
  </si>
  <si>
    <t>1.MOVEMENT OF FIELD AREA (ROW,COLUMN,FILTERS,VALUE)</t>
  </si>
  <si>
    <t>2.USE OF REFRESH OPTION</t>
  </si>
  <si>
    <t>3.USE OF FILTERS</t>
  </si>
  <si>
    <t>4.DOUBLE CLICK ON REPORTS DATA TO GET SEPARATE SHEET IN DETAILS</t>
  </si>
  <si>
    <t>5.VALUE FIELD SETTING.</t>
  </si>
  <si>
    <t xml:space="preserve">6.HOW TO USE GROUP AND UNGROUP </t>
  </si>
  <si>
    <t xml:space="preserve">7.USE OF FORMULA USING PIVOT TABLE </t>
  </si>
  <si>
    <t>8.PIVOT CHART</t>
  </si>
  <si>
    <t>9.SLICER</t>
  </si>
  <si>
    <t>10.PIVOT DASHBOARD</t>
  </si>
  <si>
    <t>11.USE OF TIMELINE</t>
  </si>
  <si>
    <t>Row Labels</t>
  </si>
  <si>
    <t>Grand Total</t>
  </si>
  <si>
    <t>Sum of TOTAL SALES</t>
  </si>
  <si>
    <t>Sum of TOTAL COST</t>
  </si>
  <si>
    <t>Count of TOTAL SALES</t>
  </si>
  <si>
    <t>Average of TOTAL SALES</t>
  </si>
  <si>
    <t>2024</t>
  </si>
  <si>
    <t>Dec</t>
  </si>
  <si>
    <t>2025</t>
  </si>
  <si>
    <t>Jan</t>
  </si>
  <si>
    <t>2026</t>
  </si>
  <si>
    <t>12-Dec</t>
  </si>
  <si>
    <t>13-Dec</t>
  </si>
  <si>
    <t>14-Dec</t>
  </si>
  <si>
    <t>15-Dec</t>
  </si>
  <si>
    <t>16-Dec</t>
  </si>
  <si>
    <t>17-Dec</t>
  </si>
  <si>
    <t>18-Dec</t>
  </si>
  <si>
    <t>19-Dec</t>
  </si>
  <si>
    <t>20-Dec</t>
  </si>
  <si>
    <t>21-Dec</t>
  </si>
  <si>
    <t>01-Jan</t>
  </si>
  <si>
    <t>02-Jan</t>
  </si>
  <si>
    <t>03-Jan</t>
  </si>
  <si>
    <t>04-Jan</t>
  </si>
  <si>
    <t>05-Jan</t>
  </si>
  <si>
    <t>06-Jan</t>
  </si>
  <si>
    <t>07-Jan</t>
  </si>
  <si>
    <t>08-Jan</t>
  </si>
  <si>
    <t>09-Jan</t>
  </si>
  <si>
    <t>10-Jan</t>
  </si>
  <si>
    <t>11-Jan</t>
  </si>
  <si>
    <t>12-Jan</t>
  </si>
  <si>
    <t>13-Jan</t>
  </si>
  <si>
    <t>14-Jan</t>
  </si>
  <si>
    <t>15-Jan</t>
  </si>
  <si>
    <t>16-Jan</t>
  </si>
  <si>
    <t>17-Jan</t>
  </si>
  <si>
    <t>18-Jan</t>
  </si>
  <si>
    <t>19-Jan</t>
  </si>
  <si>
    <t>Sum of UNIT COST</t>
  </si>
  <si>
    <t>Sum of TOTAL PROFIT</t>
  </si>
  <si>
    <t>Sum of AGE</t>
  </si>
  <si>
    <t>EMPLOY'S ANME</t>
  </si>
  <si>
    <t>EMPLOY'S ID</t>
  </si>
  <si>
    <t>MEDI123456</t>
  </si>
  <si>
    <t>MEDI123457</t>
  </si>
  <si>
    <t>MEDI123458</t>
  </si>
  <si>
    <t>MEDI123459</t>
  </si>
  <si>
    <t>MEDI123460</t>
  </si>
  <si>
    <t>MEDI123461</t>
  </si>
  <si>
    <t>MEDI123462</t>
  </si>
  <si>
    <t>MEDI123463</t>
  </si>
  <si>
    <t>MEDI123464</t>
  </si>
  <si>
    <t>MEDI123465</t>
  </si>
  <si>
    <t>S</t>
  </si>
  <si>
    <t>U</t>
  </si>
  <si>
    <t>N</t>
  </si>
  <si>
    <t>D</t>
  </si>
  <si>
    <t>A</t>
  </si>
  <si>
    <t>Y</t>
  </si>
  <si>
    <t>MEDI123466</t>
  </si>
  <si>
    <t xml:space="preserve">TOTAL PRESENT </t>
  </si>
  <si>
    <t>TOTAL ABSENT</t>
  </si>
  <si>
    <t>TOTAL LEAVES</t>
  </si>
  <si>
    <t>P</t>
  </si>
  <si>
    <t>LEAVE</t>
  </si>
  <si>
    <t>BASIC SALARY</t>
  </si>
  <si>
    <t>ATTENDENCE</t>
  </si>
  <si>
    <t>ACTUAL SALRAY</t>
  </si>
  <si>
    <t>HRA(18%)</t>
  </si>
  <si>
    <t>DA (10%)</t>
  </si>
  <si>
    <t>CONVENYANCE</t>
  </si>
  <si>
    <t>OVERTIME HOUR</t>
  </si>
  <si>
    <t>OVERTIME SALARY</t>
  </si>
  <si>
    <t>TOTAL SALARY</t>
  </si>
  <si>
    <t>PF(12%)</t>
  </si>
  <si>
    <t>ESI (1.75)</t>
  </si>
  <si>
    <t>NET PAYABLE</t>
  </si>
  <si>
    <t>SQRT</t>
  </si>
  <si>
    <t>ROWS</t>
  </si>
  <si>
    <t>COLUMNS</t>
  </si>
  <si>
    <t>ISTEXT</t>
  </si>
  <si>
    <t>ISNUMBER</t>
  </si>
  <si>
    <t>ISBLANK</t>
  </si>
  <si>
    <t>ISERROR</t>
  </si>
  <si>
    <t>ISEVEN</t>
  </si>
  <si>
    <t>ISODD</t>
  </si>
  <si>
    <t>1.WITH REFERENCE FORMULA</t>
  </si>
  <si>
    <t>2.WITHOUT REFERENCE FORMULA</t>
  </si>
  <si>
    <t>REENA</t>
  </si>
  <si>
    <t>count only number</t>
  </si>
  <si>
    <t>count everything</t>
  </si>
  <si>
    <t xml:space="preserve">count blank </t>
  </si>
  <si>
    <t>sanjana</t>
  </si>
  <si>
    <t>beautiful</t>
  </si>
  <si>
    <t>iehjh</t>
  </si>
  <si>
    <t>count text</t>
  </si>
  <si>
    <t>count blank</t>
  </si>
  <si>
    <t>yash</t>
  </si>
  <si>
    <t>komal</t>
  </si>
  <si>
    <t>1 .LARGE SMALL RANK</t>
  </si>
  <si>
    <t>2.ROUND ROUNDUP ROUNDDOWN</t>
  </si>
  <si>
    <t>VALUE</t>
  </si>
  <si>
    <t>INT</t>
  </si>
  <si>
    <t>ROUND</t>
  </si>
  <si>
    <t>ROUNDUP</t>
  </si>
  <si>
    <t>ROUNDDOWN</t>
  </si>
  <si>
    <t>NO CHANGE</t>
  </si>
  <si>
    <t>CHANGE</t>
  </si>
  <si>
    <t>FV</t>
  </si>
  <si>
    <t>PMT (EMI)</t>
  </si>
  <si>
    <t>NPER</t>
  </si>
  <si>
    <t>RATE</t>
  </si>
  <si>
    <t>FUTURE VALUE</t>
  </si>
  <si>
    <t>PER MONTH TENURE</t>
  </si>
  <si>
    <t>PV</t>
  </si>
  <si>
    <t>PRESENT VALUE</t>
  </si>
  <si>
    <t>NUMBER OF PERIOD (YEAR)</t>
  </si>
  <si>
    <t>RATE%</t>
  </si>
  <si>
    <t>FULLFORM</t>
  </si>
  <si>
    <t>EMI/PER MONTH (PMT)</t>
  </si>
  <si>
    <t>TIME(NPER) YEAR</t>
  </si>
  <si>
    <t>RATE/YEARLY</t>
  </si>
  <si>
    <t>TOTAL INVESTMENT</t>
  </si>
  <si>
    <t>FV MONTHLY</t>
  </si>
  <si>
    <t>FV (FD)</t>
  </si>
  <si>
    <t>PROFIT</t>
  </si>
  <si>
    <t>LOAN AMT.(PV)</t>
  </si>
  <si>
    <t>RATE (YEARLY)</t>
  </si>
  <si>
    <t>TIME (NPER)</t>
  </si>
  <si>
    <t>EMI (PMT)</t>
  </si>
  <si>
    <t>ROLL NO</t>
  </si>
  <si>
    <t>TOTAL MARKS</t>
  </si>
  <si>
    <t>OBTAINED MARKS</t>
  </si>
  <si>
    <t>Q.1  COUNT THE SCORE WHICH ARE GRATER THEN 95 AND LESS THEN 99 USING FUNCTION</t>
  </si>
  <si>
    <t>SCORE</t>
  </si>
  <si>
    <t>Q2. FIND OUT THE AVERAGE SCORE TO KENICA BOSE, OUT OF HER TOTAL SCORE USING FORMULA</t>
  </si>
  <si>
    <t>Q3.  FIND THE OVERALL AVG. SCORE OF THE BELOW MENTIOND SCORES</t>
  </si>
  <si>
    <t>ROUND 1 SCORE</t>
  </si>
  <si>
    <t>ROUND 2 SCORE</t>
  </si>
  <si>
    <t>FINAL ROUND SCORES</t>
  </si>
  <si>
    <t>OVERALL AVG.SCORE(%)</t>
  </si>
  <si>
    <t>SCORES</t>
  </si>
  <si>
    <t>Q.4 COUNT THE BELOW SALES VALUE BASES ON CRITERIA</t>
  </si>
  <si>
    <t>SALES 4000 AND BELOW</t>
  </si>
  <si>
    <t>SALES ABOVE 4000 UP TP 6000</t>
  </si>
  <si>
    <t>SALES ABOVE 6000</t>
  </si>
  <si>
    <t>NORTH</t>
  </si>
  <si>
    <t>SOUTH</t>
  </si>
  <si>
    <t>OUTPUT</t>
  </si>
  <si>
    <t>KANICA</t>
  </si>
  <si>
    <t xml:space="preserve">CANDY </t>
  </si>
  <si>
    <t>CALORIES</t>
  </si>
  <si>
    <t>FRUITS AND VEG</t>
  </si>
  <si>
    <t>SNICKERS</t>
  </si>
  <si>
    <t>TWIX</t>
  </si>
  <si>
    <t>SKITTLES</t>
  </si>
  <si>
    <t>MARS</t>
  </si>
  <si>
    <t>KIT KAT</t>
  </si>
  <si>
    <t>MUNCH</t>
  </si>
  <si>
    <t>TOMATO</t>
  </si>
  <si>
    <t>POTATO</t>
  </si>
  <si>
    <t>CARROT</t>
  </si>
  <si>
    <t>THE TOTAL CALORIES OF SNIKERS AND POTATO</t>
  </si>
  <si>
    <t>BRAND</t>
  </si>
  <si>
    <t>COST</t>
  </si>
  <si>
    <t>SALE</t>
  </si>
  <si>
    <t>PROFIT/LOSS</t>
  </si>
  <si>
    <t>BULB</t>
  </si>
  <si>
    <t>NEON</t>
  </si>
  <si>
    <t>SPOT</t>
  </si>
  <si>
    <t>OTHER</t>
  </si>
  <si>
    <t>CAMERA</t>
  </si>
  <si>
    <t>BOOK</t>
  </si>
  <si>
    <t>PHILIPS</t>
  </si>
  <si>
    <t>SUNBEAM</t>
  </si>
  <si>
    <t>HORIZON</t>
  </si>
  <si>
    <t xml:space="preserve">1, TOTAL COUNT OF PRODUCT OF BULB </t>
  </si>
  <si>
    <t>2, TOTAL COUNT THE PRODUCT OF BULB AND BRAND OF (PHILIPS)</t>
  </si>
  <si>
    <t>3,SUM OF PROFIT AND LOSS OF PRODUCT (BULB)</t>
  </si>
  <si>
    <t>4,SUM OF PROFIT AND LOSS OF PRODUCT (BULB) AND BRAND (PHILIPS)</t>
  </si>
  <si>
    <t>CATEGORIES</t>
  </si>
  <si>
    <t>FOOD</t>
  </si>
  <si>
    <t>TRANSP</t>
  </si>
  <si>
    <t>LODGING</t>
  </si>
  <si>
    <t>SUM THE AMOUNT BASED ON DATE AND CATEGORIES</t>
  </si>
  <si>
    <t>KUMAR,RAHUL</t>
  </si>
  <si>
    <t>SHRAMA,KARAN</t>
  </si>
  <si>
    <t>SHRAMA,POOJA</t>
  </si>
  <si>
    <t>SINGH,MONIKA</t>
  </si>
  <si>
    <t>AWASTHI,SWATI</t>
  </si>
  <si>
    <t>FIRST NAME</t>
  </si>
  <si>
    <t>LAST NAME</t>
  </si>
  <si>
    <t>NAME AND EMP ID</t>
  </si>
  <si>
    <t>RAJU SINGH (1234)</t>
  </si>
  <si>
    <t>SUNDER NAYAL1 (33456)</t>
  </si>
  <si>
    <t>RIESH SINHA (2345)</t>
  </si>
  <si>
    <t>SOBHIT1 SINGHAL (23478)</t>
  </si>
  <si>
    <t>PANKAJ SYAL (7654)</t>
  </si>
  <si>
    <t>SANISH RAJPUT (09876)</t>
  </si>
  <si>
    <t>EMP ID</t>
  </si>
  <si>
    <t>RAHUL</t>
  </si>
  <si>
    <t>MONIKA</t>
  </si>
  <si>
    <t>SWATI</t>
  </si>
  <si>
    <t>KUMAR</t>
  </si>
  <si>
    <t>SHRAMA</t>
  </si>
  <si>
    <t>AWASTHI</t>
  </si>
  <si>
    <t>EMPLOYEE NAME</t>
  </si>
  <si>
    <t xml:space="preserve"> SALES</t>
  </si>
  <si>
    <t>EMP NAME</t>
  </si>
  <si>
    <t>STATE</t>
  </si>
  <si>
    <t>NAME OF THE STUDENT</t>
  </si>
  <si>
    <t>LOWEST CONTAINING SUBJECT</t>
  </si>
  <si>
    <t>HIGHEST CONTAINING SUBJECT</t>
  </si>
  <si>
    <t>RECEIVED</t>
  </si>
  <si>
    <t>CURRENT STOCK</t>
  </si>
  <si>
    <t>ISSSUED</t>
  </si>
  <si>
    <t>NOTEPAD</t>
  </si>
  <si>
    <t>STICKER</t>
  </si>
  <si>
    <t>COBRA FILE</t>
  </si>
  <si>
    <t>LED LIGHT</t>
  </si>
  <si>
    <t>ANAND</t>
  </si>
  <si>
    <t>SHEET 1</t>
  </si>
  <si>
    <t>SHEET 2</t>
  </si>
  <si>
    <t xml:space="preserve">SALES </t>
  </si>
  <si>
    <t>SHEET 3</t>
  </si>
  <si>
    <t>SALES NAME</t>
  </si>
  <si>
    <t>EVOL</t>
  </si>
  <si>
    <t>ATIS</t>
  </si>
  <si>
    <t>BILLING</t>
  </si>
  <si>
    <t>INVOICE</t>
  </si>
  <si>
    <t>Evol Atis</t>
  </si>
  <si>
    <t>Okhla Industrial Area,</t>
  </si>
  <si>
    <t>New Delhi-110020</t>
  </si>
  <si>
    <t>Phone :9999999999</t>
  </si>
  <si>
    <t>BILL TO</t>
  </si>
  <si>
    <t>TechGuruPlus</t>
  </si>
  <si>
    <t>Sector-200,NOIDA,U.P.</t>
  </si>
  <si>
    <t>Uttar Pradesh</t>
  </si>
  <si>
    <t>Phone:8888888888</t>
  </si>
  <si>
    <t>GSTIN :6969696969696969</t>
  </si>
  <si>
    <t>GSTIN :8989898989898989</t>
  </si>
  <si>
    <t>INVOICE NO</t>
  </si>
  <si>
    <t>CUSTOMER ID</t>
  </si>
  <si>
    <t>DUE DATE</t>
  </si>
  <si>
    <t>UP25154</t>
  </si>
  <si>
    <t>SHIP TO</t>
  </si>
  <si>
    <t>SL.NO</t>
  </si>
  <si>
    <t>Item</t>
  </si>
  <si>
    <t>HSN NO.</t>
  </si>
  <si>
    <t>UNIT RATE</t>
  </si>
  <si>
    <t>ITEM NAME 1</t>
  </si>
  <si>
    <t>ITEM NAME 2</t>
  </si>
  <si>
    <t>ITEM NAME 3</t>
  </si>
  <si>
    <t>ITEM NAME 4</t>
  </si>
  <si>
    <t>ITEM NAME 5</t>
  </si>
  <si>
    <t>Rs.125.00</t>
  </si>
  <si>
    <t>Rs.235.00</t>
  </si>
  <si>
    <t>Rs.658.00</t>
  </si>
  <si>
    <t>Rs.485.00</t>
  </si>
  <si>
    <t>Rs.215.00</t>
  </si>
  <si>
    <t>Rs.1,875.00</t>
  </si>
  <si>
    <t>Rs.6,123.52</t>
  </si>
  <si>
    <t>Rs.35,532.00</t>
  </si>
  <si>
    <t>Rs.28,130.00</t>
  </si>
  <si>
    <t>Rs.5,375.00</t>
  </si>
  <si>
    <t>Rs.77,035.52</t>
  </si>
  <si>
    <t>PAYABLE AMOUNT</t>
  </si>
  <si>
    <t>Rs.90,902.00</t>
  </si>
  <si>
    <t>Rs.9,244.26</t>
  </si>
  <si>
    <t>Rs,4,622.13</t>
  </si>
  <si>
    <t>Rs.0.00</t>
  </si>
  <si>
    <t>Note:-</t>
  </si>
  <si>
    <t>Total payment due in 30 days.</t>
  </si>
  <si>
    <t>Please  include include the invoice number in your payment notes.</t>
  </si>
  <si>
    <t>Authorized Sign.</t>
  </si>
  <si>
    <t>If you have any queries for this invoice please contact</t>
  </si>
  <si>
    <t>We Will Do Our Best ,Thank You For Your Buisness</t>
  </si>
  <si>
    <t>[+91XXXXXXXXXXXX}, example@mail.com</t>
  </si>
  <si>
    <t>SGST @12%</t>
  </si>
  <si>
    <t>CGST @ 6%</t>
  </si>
  <si>
    <t>DISCOUNT @ 0%</t>
  </si>
  <si>
    <t>FORMULA</t>
  </si>
  <si>
    <t>ALT+=</t>
  </si>
  <si>
    <t>SHIFT+SPACEBAR</t>
  </si>
  <si>
    <t>CTRL+SHIFT+L</t>
  </si>
  <si>
    <t>CTRL+SPACEBAR</t>
  </si>
  <si>
    <t>CTRL+PAGE UP</t>
  </si>
  <si>
    <t>CTRL+PAGE DOWN</t>
  </si>
  <si>
    <t>SHIFT+F11</t>
  </si>
  <si>
    <t>CTRL+SHIFT+&amp;</t>
  </si>
  <si>
    <t>CTRL+SHIFT+ -</t>
  </si>
  <si>
    <t>ATL+ENTER KEY</t>
  </si>
  <si>
    <t>USE</t>
  </si>
  <si>
    <t>TO APPLY FILTERS</t>
  </si>
  <si>
    <t>FOR AUTO SUM</t>
  </si>
  <si>
    <t>SELECT ROW</t>
  </si>
  <si>
    <t>SELECT COLUMN</t>
  </si>
  <si>
    <t>MOVE LEFT SIDE</t>
  </si>
  <si>
    <t>MOVE RIGHT SIDE</t>
  </si>
  <si>
    <t xml:space="preserve">TO INSERT NEW SHEET </t>
  </si>
  <si>
    <t>TO APPLY OUTLINE BORDER</t>
  </si>
  <si>
    <t>TO REMOVE BORDER</t>
  </si>
  <si>
    <t>TO WRITE IN SAME CELL</t>
  </si>
  <si>
    <t>CTRL+SHIFT+ +</t>
  </si>
  <si>
    <t>CTRL+ -</t>
  </si>
  <si>
    <t>CTRL+;</t>
  </si>
  <si>
    <t>CTRL+SHIFT+:</t>
  </si>
  <si>
    <t>CTRL+9</t>
  </si>
  <si>
    <t>CTRL+SHIFT+9</t>
  </si>
  <si>
    <t>CTRL+0</t>
  </si>
  <si>
    <t>ALT+H+OUL</t>
  </si>
  <si>
    <t>ALT+F1</t>
  </si>
  <si>
    <t>CTRL+F2</t>
  </si>
  <si>
    <t>TO INSERT ROW/COLUMN</t>
  </si>
  <si>
    <t>TO DELET ROW/COLUMN</t>
  </si>
  <si>
    <t>INSERT DATE</t>
  </si>
  <si>
    <t>INSER TIME</t>
  </si>
  <si>
    <t>HIDE ROW</t>
  </si>
  <si>
    <t>UNHIDE ROW</t>
  </si>
  <si>
    <t>HIDE COLUMN</t>
  </si>
  <si>
    <t>UNHIDE COLUMN</t>
  </si>
  <si>
    <t>CREATE CHART</t>
  </si>
  <si>
    <t>FOR PRINT PREVIEW</t>
  </si>
  <si>
    <t>CTRL+1</t>
  </si>
  <si>
    <t>CTRL+4</t>
  </si>
  <si>
    <t>CTRL+5</t>
  </si>
  <si>
    <t>CTRL+2</t>
  </si>
  <si>
    <t>CTRL+3</t>
  </si>
  <si>
    <t>CTRL+T</t>
  </si>
  <si>
    <t>CTRL+F1</t>
  </si>
  <si>
    <t>CTRL+HOME</t>
  </si>
  <si>
    <t>CTRL+END</t>
  </si>
  <si>
    <t>CTRL+ALT+V</t>
  </si>
  <si>
    <t>FORMET CELL</t>
  </si>
  <si>
    <t>BOLD</t>
  </si>
  <si>
    <t>ITALIC</t>
  </si>
  <si>
    <t>UNDERLINE</t>
  </si>
  <si>
    <t>STRIKETHROUGH</t>
  </si>
  <si>
    <t>TABLE</t>
  </si>
  <si>
    <t>HIDE/UNHIDE RIBBON</t>
  </si>
  <si>
    <t>BEGINNING OF DATA</t>
  </si>
  <si>
    <t>END OF DATA</t>
  </si>
  <si>
    <t>PASTE SPEACIAL</t>
  </si>
  <si>
    <t>alt+=</t>
  </si>
  <si>
    <t>shift+spacebar</t>
  </si>
  <si>
    <t>ctrl+space</t>
  </si>
  <si>
    <t>ctrl+pageup</t>
  </si>
  <si>
    <t>ctrl+pagedown</t>
  </si>
  <si>
    <t>shift+F11</t>
  </si>
  <si>
    <t>CTRL+SHIFT+-</t>
  </si>
  <si>
    <t>ALT+ENTER KEY</t>
  </si>
  <si>
    <t>CTRL+SHIFT++</t>
  </si>
  <si>
    <t>CTRL+-</t>
  </si>
  <si>
    <t>ctrl+shift+L</t>
  </si>
  <si>
    <t>COMPARTMENT</t>
  </si>
  <si>
    <t>PASS /FAIL</t>
  </si>
  <si>
    <t>¬</t>
  </si>
  <si>
    <t>¬¬</t>
  </si>
  <si>
    <t>¬¬¬</t>
  </si>
  <si>
    <t>¬¬¬¬</t>
  </si>
  <si>
    <t>¬¬¬¬¬</t>
  </si>
  <si>
    <t xml:space="preserve">  </t>
  </si>
  <si>
    <t>RAJU SINGH</t>
  </si>
  <si>
    <t>SUNDER NAYAL1</t>
  </si>
  <si>
    <t>RIESH SINHA</t>
  </si>
  <si>
    <t>SOBHIT1 SINGHAL</t>
  </si>
  <si>
    <t>PANKAJ SYAL</t>
  </si>
  <si>
    <t>SANISH RAJPUT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</si>
</sst>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Red]\-&quot;£&quot;#,##0"/>
    <numFmt numFmtId="165" formatCode="&quot;£&quot;#,##0.00;[Red]\-&quot;£&quot;#,##0.00"/>
    <numFmt numFmtId="166" formatCode="0.0"/>
  </numFmts>
  <fonts count="20" x14ac:knownFonts="1">
    <font>
      <sz val="11"/>
      <color theme="1"/>
      <name val="Calibri"/>
      <family val="2"/>
      <scheme val="minor"/>
    </font>
    <font>
      <b/>
      <sz val="11"/>
      <color theme="1"/>
      <name val="Calibri"/>
      <family val="2"/>
      <scheme val="minor"/>
    </font>
    <font>
      <sz val="8"/>
      <name val="Calibri"/>
      <family val="2"/>
      <scheme val="minor"/>
    </font>
    <font>
      <b/>
      <sz val="11"/>
      <color theme="0"/>
      <name val="Calibri"/>
      <family val="2"/>
      <scheme val="minor"/>
    </font>
    <font>
      <sz val="11"/>
      <color theme="1"/>
      <name val="Britannic Bold"/>
      <family val="2"/>
    </font>
    <font>
      <sz val="11"/>
      <color theme="1"/>
      <name val="Wide Latin"/>
      <family val="1"/>
    </font>
    <font>
      <sz val="11"/>
      <color theme="1"/>
      <name val="Wingdings 2"/>
      <family val="1"/>
      <charset val="2"/>
    </font>
    <font>
      <sz val="11"/>
      <color theme="0"/>
      <name val="Wingdings 2"/>
      <family val="1"/>
      <charset val="2"/>
    </font>
    <font>
      <i/>
      <sz val="11"/>
      <color theme="1"/>
      <name val="Calibri"/>
      <family val="2"/>
      <scheme val="minor"/>
    </font>
    <font>
      <b/>
      <i/>
      <sz val="11"/>
      <color theme="1"/>
      <name val="Calibri"/>
      <family val="2"/>
      <scheme val="minor"/>
    </font>
    <font>
      <b/>
      <i/>
      <sz val="12"/>
      <color theme="1"/>
      <name val="Calibri"/>
      <family val="2"/>
      <scheme val="minor"/>
    </font>
    <font>
      <b/>
      <sz val="20"/>
      <color theme="1"/>
      <name val="Calibri"/>
      <family val="2"/>
      <scheme val="minor"/>
    </font>
    <font>
      <b/>
      <sz val="11"/>
      <color rgb="FF002060"/>
      <name val="Calibri"/>
      <family val="2"/>
      <scheme val="minor"/>
    </font>
    <font>
      <b/>
      <u/>
      <sz val="11"/>
      <color theme="1"/>
      <name val="Calibri"/>
      <family val="2"/>
      <scheme val="minor"/>
    </font>
    <font>
      <u/>
      <sz val="11"/>
      <color theme="1"/>
      <name val="Calibri"/>
      <family val="2"/>
      <scheme val="minor"/>
    </font>
    <font>
      <strike/>
      <sz val="11"/>
      <color theme="1"/>
      <name val="Calibri"/>
      <family val="2"/>
      <scheme val="minor"/>
    </font>
    <font>
      <b/>
      <sz val="11"/>
      <name val="Calibri"/>
      <family val="2"/>
      <scheme val="minor"/>
    </font>
    <font>
      <sz val="11"/>
      <color theme="1"/>
      <name val="Webdings"/>
      <family val="1"/>
      <charset val="2"/>
    </font>
    <font>
      <sz val="11"/>
      <color theme="1"/>
      <name val="Wingdings"/>
      <charset val="2"/>
    </font>
    <font>
      <sz val="8"/>
      <color rgb="FF000000"/>
      <name val="Segoe UI"/>
      <family val="2"/>
    </font>
  </fonts>
  <fills count="28">
    <fill>
      <patternFill patternType="none"/>
    </fill>
    <fill>
      <patternFill patternType="gray125"/>
    </fill>
    <fill>
      <patternFill patternType="solid">
        <fgColor rgb="FFECA930"/>
        <bgColor indexed="64"/>
      </patternFill>
    </fill>
    <fill>
      <patternFill patternType="solid">
        <fgColor rgb="FFFABCDF"/>
        <bgColor indexed="64"/>
      </patternFill>
    </fill>
    <fill>
      <patternFill patternType="solid">
        <fgColor rgb="FFD79CFC"/>
        <bgColor indexed="64"/>
      </patternFill>
    </fill>
    <fill>
      <patternFill patternType="solid">
        <fgColor rgb="FFFFFF00"/>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C000"/>
        <bgColor indexed="64"/>
      </patternFill>
    </fill>
    <fill>
      <patternFill patternType="solid">
        <fgColor theme="0"/>
        <bgColor indexed="64"/>
      </patternFill>
    </fill>
    <fill>
      <patternFill patternType="solid">
        <fgColor rgb="FF00B0F0"/>
        <bgColor indexed="64"/>
      </patternFill>
    </fill>
    <fill>
      <patternFill patternType="solid">
        <fgColor rgb="FF7030A0"/>
        <bgColor indexed="64"/>
      </patternFill>
    </fill>
    <fill>
      <patternFill patternType="solid">
        <fgColor theme="1"/>
        <bgColor indexed="64"/>
      </patternFill>
    </fill>
    <fill>
      <patternFill patternType="solid">
        <fgColor theme="5" tint="0.39997558519241921"/>
        <bgColor indexed="64"/>
      </patternFill>
    </fill>
    <fill>
      <patternFill patternType="solid">
        <fgColor theme="7" tint="-0.249977111117893"/>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FFCC"/>
        <bgColor indexed="64"/>
      </patternFill>
    </fill>
    <fill>
      <patternFill patternType="solid">
        <fgColor rgb="FFF468B8"/>
        <bgColor indexed="64"/>
      </patternFill>
    </fill>
    <fill>
      <patternFill patternType="solid">
        <fgColor rgb="FFBAECFC"/>
        <bgColor indexed="64"/>
      </patternFill>
    </fill>
    <fill>
      <patternFill patternType="solid">
        <fgColor rgb="FF63DEF7"/>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rgb="FFAEC2FC"/>
        <bgColor indexed="64"/>
      </patternFill>
    </fill>
    <fill>
      <patternFill patternType="solid">
        <fgColor rgb="FFE8A84A"/>
        <bgColor indexed="64"/>
      </patternFill>
    </fill>
    <fill>
      <patternFill patternType="solid">
        <fgColor rgb="FFFF3300"/>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ashed">
        <color indexed="64"/>
      </bottom>
      <diagonal/>
    </border>
    <border>
      <left/>
      <right/>
      <top style="dashed">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dashed">
        <color indexed="64"/>
      </bottom>
      <diagonal/>
    </border>
    <border>
      <left style="medium">
        <color indexed="64"/>
      </left>
      <right/>
      <top style="dashed">
        <color indexed="64"/>
      </top>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1">
    <xf numFmtId="0" fontId="0" fillId="0" borderId="0" xfId="0"/>
    <xf numFmtId="0" fontId="0" fillId="0" borderId="0" xfId="0" applyAlignment="1">
      <alignment horizontal="center"/>
    </xf>
    <xf numFmtId="22" fontId="0" fillId="0" borderId="0" xfId="0" applyNumberFormat="1"/>
    <xf numFmtId="14" fontId="0" fillId="0" borderId="0" xfId="0" applyNumberFormat="1"/>
    <xf numFmtId="0" fontId="1" fillId="0" borderId="0" xfId="0" applyFont="1" applyAlignment="1">
      <alignment horizontal="center" vertical="center"/>
    </xf>
    <xf numFmtId="0" fontId="1" fillId="3" borderId="0" xfId="0" applyFont="1" applyFill="1" applyAlignment="1">
      <alignment wrapText="1"/>
    </xf>
    <xf numFmtId="0" fontId="1" fillId="3" borderId="0" xfId="0" applyFont="1" applyFill="1"/>
    <xf numFmtId="0" fontId="1" fillId="3" borderId="0" xfId="0" applyFont="1" applyFill="1" applyAlignment="1">
      <alignment vertical="center"/>
    </xf>
    <xf numFmtId="14" fontId="0" fillId="0" borderId="0" xfId="0" applyNumberFormat="1" applyAlignment="1">
      <alignment vertical="center"/>
    </xf>
    <xf numFmtId="0" fontId="0" fillId="0" borderId="0" xfId="0" applyAlignment="1">
      <alignment vertical="center"/>
    </xf>
    <xf numFmtId="14" fontId="1" fillId="0" borderId="0" xfId="0" applyNumberFormat="1" applyFont="1"/>
    <xf numFmtId="0" fontId="1" fillId="0" borderId="0" xfId="0" applyFont="1"/>
    <xf numFmtId="20" fontId="0" fillId="0" borderId="0" xfId="0" applyNumberFormat="1"/>
    <xf numFmtId="18" fontId="0" fillId="0" borderId="0" xfId="0" applyNumberFormat="1"/>
    <xf numFmtId="0" fontId="1" fillId="3" borderId="0" xfId="0" applyFont="1" applyFill="1" applyAlignment="1">
      <alignment horizontal="center" wrapText="1"/>
    </xf>
    <xf numFmtId="0" fontId="1" fillId="0" borderId="0" xfId="0" applyFont="1" applyAlignment="1">
      <alignment horizontal="center"/>
    </xf>
    <xf numFmtId="0" fontId="0" fillId="0" borderId="1" xfId="0" applyBorder="1" applyAlignment="1">
      <alignment horizontal="center"/>
    </xf>
    <xf numFmtId="0" fontId="1" fillId="3" borderId="1" xfId="0" applyFont="1" applyFill="1" applyBorder="1" applyAlignment="1">
      <alignment horizontal="center"/>
    </xf>
    <xf numFmtId="20" fontId="0" fillId="0" borderId="1" xfId="0" applyNumberFormat="1" applyBorder="1" applyAlignment="1">
      <alignment horizontal="center"/>
    </xf>
    <xf numFmtId="18" fontId="0" fillId="0" borderId="1" xfId="0" applyNumberFormat="1" applyBorder="1" applyAlignment="1">
      <alignment horizontal="center"/>
    </xf>
    <xf numFmtId="0" fontId="1" fillId="4" borderId="0" xfId="0" applyFont="1" applyFill="1" applyAlignment="1">
      <alignment horizontal="center" vertical="center"/>
    </xf>
    <xf numFmtId="0" fontId="1" fillId="4" borderId="0" xfId="0" applyFont="1" applyFill="1" applyAlignment="1">
      <alignment horizontal="center"/>
    </xf>
    <xf numFmtId="0" fontId="1" fillId="4"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4" borderId="1" xfId="0" applyFont="1" applyFill="1" applyBorder="1" applyAlignment="1">
      <alignment vertical="center" wrapText="1"/>
    </xf>
    <xf numFmtId="0" fontId="0" fillId="5" borderId="0" xfId="0" applyFill="1" applyAlignment="1">
      <alignment horizontal="center"/>
    </xf>
    <xf numFmtId="0" fontId="0" fillId="0" borderId="0" xfId="0" applyBorder="1"/>
    <xf numFmtId="0" fontId="1" fillId="6" borderId="1" xfId="0" applyFont="1" applyFill="1" applyBorder="1" applyAlignment="1">
      <alignment horizontal="center" vertical="center"/>
    </xf>
    <xf numFmtId="0" fontId="0" fillId="7" borderId="1" xfId="0" applyFill="1" applyBorder="1" applyAlignment="1">
      <alignment horizontal="center"/>
    </xf>
    <xf numFmtId="14" fontId="0" fillId="7" borderId="1" xfId="0" applyNumberFormat="1" applyFill="1" applyBorder="1" applyAlignment="1">
      <alignment horizontal="center"/>
    </xf>
    <xf numFmtId="0" fontId="1" fillId="6" borderId="0" xfId="0" applyFont="1" applyFill="1" applyAlignment="1">
      <alignment horizontal="center" vertical="center"/>
    </xf>
    <xf numFmtId="0" fontId="1" fillId="6" borderId="0" xfId="0" applyFont="1" applyFill="1" applyAlignment="1">
      <alignment horizontal="center" vertical="center" wrapText="1"/>
    </xf>
    <xf numFmtId="14" fontId="0" fillId="0" borderId="0" xfId="0" applyNumberFormat="1" applyAlignment="1">
      <alignment horizontal="center"/>
    </xf>
    <xf numFmtId="0" fontId="1" fillId="6" borderId="0" xfId="0" applyFont="1" applyFill="1" applyAlignment="1">
      <alignment horizontal="center"/>
    </xf>
    <xf numFmtId="0" fontId="0" fillId="0" borderId="0" xfId="0" applyAlignment="1">
      <alignment wrapText="1"/>
    </xf>
    <xf numFmtId="0" fontId="1" fillId="8" borderId="0" xfId="0" applyFont="1" applyFill="1"/>
    <xf numFmtId="0" fontId="0" fillId="5" borderId="0" xfId="0" applyFill="1"/>
    <xf numFmtId="0" fontId="0" fillId="5" borderId="1" xfId="0" applyFill="1" applyBorder="1"/>
    <xf numFmtId="0" fontId="0" fillId="5" borderId="1" xfId="0" applyFill="1" applyBorder="1" applyAlignment="1">
      <alignment horizontal="center"/>
    </xf>
    <xf numFmtId="0" fontId="1" fillId="8" borderId="1" xfId="0" applyFont="1" applyFill="1" applyBorder="1" applyAlignment="1">
      <alignment horizontal="center"/>
    </xf>
    <xf numFmtId="0" fontId="1" fillId="5" borderId="1" xfId="0" applyFont="1" applyFill="1" applyBorder="1" applyAlignment="1">
      <alignment horizontal="center"/>
    </xf>
    <xf numFmtId="0" fontId="1" fillId="3" borderId="0" xfId="0" applyFont="1" applyFill="1" applyAlignment="1">
      <alignment horizontal="center"/>
    </xf>
    <xf numFmtId="0" fontId="0" fillId="9" borderId="1" xfId="0" applyFill="1" applyBorder="1" applyAlignment="1">
      <alignment horizontal="center"/>
    </xf>
    <xf numFmtId="0" fontId="1" fillId="10" borderId="0" xfId="0" applyFont="1" applyFill="1"/>
    <xf numFmtId="0" fontId="1" fillId="10" borderId="0" xfId="0" applyFont="1" applyFill="1" applyAlignment="1">
      <alignment horizontal="center"/>
    </xf>
    <xf numFmtId="17" fontId="1" fillId="10" borderId="0" xfId="0" applyNumberFormat="1" applyFont="1" applyFill="1" applyAlignment="1">
      <alignment horizontal="center"/>
    </xf>
    <xf numFmtId="0" fontId="1" fillId="5" borderId="0" xfId="0" applyFont="1" applyFill="1" applyAlignment="1">
      <alignment horizontal="center"/>
    </xf>
    <xf numFmtId="0" fontId="5" fillId="0" borderId="0" xfId="0" applyFont="1"/>
    <xf numFmtId="0" fontId="4" fillId="11" borderId="0" xfId="0" applyFont="1" applyFill="1"/>
    <xf numFmtId="0" fontId="6" fillId="0" borderId="0" xfId="0" applyFont="1"/>
    <xf numFmtId="0" fontId="7" fillId="12" borderId="0" xfId="0" applyFont="1" applyFill="1"/>
    <xf numFmtId="0" fontId="3" fillId="12" borderId="0" xfId="0" applyFont="1" applyFill="1" applyAlignment="1">
      <alignment horizontal="center"/>
    </xf>
    <xf numFmtId="0" fontId="1" fillId="10" borderId="1" xfId="0" applyFont="1" applyFill="1" applyBorder="1" applyAlignment="1">
      <alignment horizontal="center"/>
    </xf>
    <xf numFmtId="0" fontId="0" fillId="0" borderId="1" xfId="0" applyBorder="1"/>
    <xf numFmtId="0" fontId="1" fillId="8" borderId="0" xfId="0" applyFont="1" applyFill="1" applyAlignment="1">
      <alignment horizontal="center"/>
    </xf>
    <xf numFmtId="0" fontId="0" fillId="0" borderId="0" xfId="0" applyAlignment="1">
      <alignment horizontal="center"/>
    </xf>
    <xf numFmtId="0" fontId="0" fillId="6" borderId="1" xfId="0" applyFill="1" applyBorder="1"/>
    <xf numFmtId="0" fontId="0" fillId="14" borderId="0" xfId="0" applyFill="1"/>
    <xf numFmtId="0" fontId="1" fillId="14" borderId="0" xfId="0" applyFont="1" applyFill="1"/>
    <xf numFmtId="0" fontId="1" fillId="14" borderId="0" xfId="0" applyFont="1" applyFill="1" applyAlignment="1">
      <alignment horizontal="center"/>
    </xf>
    <xf numFmtId="0" fontId="0" fillId="15" borderId="0" xfId="0" applyFill="1"/>
    <xf numFmtId="0" fontId="1" fillId="15" borderId="0" xfId="0" applyFont="1" applyFill="1"/>
    <xf numFmtId="0" fontId="1" fillId="17" borderId="0" xfId="0" applyFont="1" applyFill="1" applyAlignment="1">
      <alignment horizontal="center"/>
    </xf>
    <xf numFmtId="0" fontId="1" fillId="0" borderId="0" xfId="0" applyFont="1" applyAlignment="1">
      <alignment horizontal="center"/>
    </xf>
    <xf numFmtId="0" fontId="0" fillId="0" borderId="0" xfId="0" applyAlignment="1">
      <alignment horizontal="center"/>
    </xf>
    <xf numFmtId="0" fontId="1" fillId="18" borderId="0" xfId="0" applyFont="1" applyFill="1"/>
    <xf numFmtId="0" fontId="1" fillId="18" borderId="0" xfId="0" applyFont="1" applyFill="1" applyAlignment="1">
      <alignment horizontal="center"/>
    </xf>
    <xf numFmtId="0" fontId="1" fillId="16" borderId="0" xfId="0" applyFont="1" applyFill="1"/>
    <xf numFmtId="0" fontId="1" fillId="16" borderId="0" xfId="0" applyFont="1" applyFill="1" applyAlignment="1">
      <alignment horizontal="center"/>
    </xf>
    <xf numFmtId="9" fontId="0" fillId="5" borderId="0" xfId="0" applyNumberFormat="1" applyFont="1" applyFill="1" applyAlignment="1">
      <alignment horizontal="center"/>
    </xf>
    <xf numFmtId="0" fontId="1" fillId="5" borderId="1"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0" fillId="0" borderId="0" xfId="0" applyAlignment="1">
      <alignment horizontal="left" indent="2"/>
    </xf>
    <xf numFmtId="14" fontId="0" fillId="0" borderId="0" xfId="0" applyNumberFormat="1" applyAlignment="1">
      <alignment horizontal="left" indent="2"/>
    </xf>
    <xf numFmtId="0" fontId="0" fillId="16" borderId="0" xfId="0" applyFill="1" applyAlignment="1">
      <alignment horizontal="center"/>
    </xf>
    <xf numFmtId="14" fontId="1" fillId="16" borderId="0" xfId="0" applyNumberFormat="1" applyFont="1" applyFill="1"/>
    <xf numFmtId="0" fontId="8" fillId="16" borderId="0" xfId="0" applyFont="1" applyFill="1" applyAlignment="1">
      <alignment horizontal="center"/>
    </xf>
    <xf numFmtId="0" fontId="9" fillId="16" borderId="0" xfId="0" applyFont="1" applyFill="1" applyAlignment="1">
      <alignment horizontal="center"/>
    </xf>
    <xf numFmtId="0" fontId="10" fillId="16" borderId="0" xfId="0" applyFont="1" applyFill="1" applyAlignment="1">
      <alignment horizontal="center"/>
    </xf>
    <xf numFmtId="14" fontId="1" fillId="16" borderId="0" xfId="0" applyNumberFormat="1" applyFont="1" applyFill="1" applyAlignment="1">
      <alignment horizontal="center"/>
    </xf>
    <xf numFmtId="14" fontId="1" fillId="15" borderId="0" xfId="0" applyNumberFormat="1" applyFont="1" applyFill="1"/>
    <xf numFmtId="0" fontId="1" fillId="15" borderId="0" xfId="0" applyFont="1" applyFill="1" applyAlignment="1">
      <alignment horizontal="center"/>
    </xf>
    <xf numFmtId="1" fontId="0" fillId="0" borderId="0" xfId="0" applyNumberFormat="1" applyAlignment="1">
      <alignment horizontal="center"/>
    </xf>
    <xf numFmtId="1" fontId="0" fillId="0" borderId="0" xfId="0" applyNumberFormat="1" applyFont="1" applyAlignment="1">
      <alignment horizontal="center"/>
    </xf>
    <xf numFmtId="0" fontId="1" fillId="0" borderId="0" xfId="0" applyFont="1" applyAlignment="1">
      <alignment horizontal="center"/>
    </xf>
    <xf numFmtId="0" fontId="0" fillId="0" borderId="0" xfId="0" applyAlignment="1">
      <alignment horizontal="center"/>
    </xf>
    <xf numFmtId="0" fontId="1" fillId="3" borderId="1" xfId="0" applyFont="1" applyFill="1" applyBorder="1" applyAlignment="1">
      <alignment horizontal="center" vertical="center"/>
    </xf>
    <xf numFmtId="22" fontId="0" fillId="0" borderId="0" xfId="0" applyNumberFormat="1" applyAlignment="1">
      <alignment horizontal="center"/>
    </xf>
    <xf numFmtId="0" fontId="1" fillId="19" borderId="1" xfId="0" applyFont="1" applyFill="1" applyBorder="1" applyAlignment="1">
      <alignment horizontal="center"/>
    </xf>
    <xf numFmtId="0" fontId="0" fillId="3" borderId="1" xfId="0" applyFill="1" applyBorder="1" applyAlignment="1">
      <alignment horizontal="center"/>
    </xf>
    <xf numFmtId="0" fontId="0" fillId="19" borderId="1" xfId="0" applyFill="1" applyBorder="1" applyAlignment="1">
      <alignment horizontal="center"/>
    </xf>
    <xf numFmtId="0" fontId="1" fillId="20" borderId="0" xfId="0" applyFont="1" applyFill="1" applyAlignment="1">
      <alignment horizontal="center" vertical="center" wrapText="1"/>
    </xf>
    <xf numFmtId="0" fontId="1" fillId="0" borderId="0" xfId="0" applyFont="1" applyAlignment="1">
      <alignment horizontal="center"/>
    </xf>
    <xf numFmtId="0" fontId="0" fillId="0" borderId="0" xfId="0" applyAlignment="1">
      <alignment horizontal="center"/>
    </xf>
    <xf numFmtId="0" fontId="1" fillId="5" borderId="0" xfId="0" applyFont="1" applyFill="1" applyAlignment="1">
      <alignment horizontal="center"/>
    </xf>
    <xf numFmtId="0" fontId="1" fillId="20" borderId="1" xfId="0" applyFont="1" applyFill="1" applyBorder="1" applyAlignment="1">
      <alignment horizontal="center"/>
    </xf>
    <xf numFmtId="0" fontId="1" fillId="19" borderId="1" xfId="0" applyFont="1" applyFill="1" applyBorder="1"/>
    <xf numFmtId="0" fontId="1" fillId="20" borderId="1" xfId="0" applyFont="1" applyFill="1" applyBorder="1" applyAlignment="1">
      <alignment horizontal="center" vertical="center"/>
    </xf>
    <xf numFmtId="0" fontId="0" fillId="0" borderId="2" xfId="0" applyBorder="1" applyAlignment="1"/>
    <xf numFmtId="0" fontId="1" fillId="5" borderId="0" xfId="0" applyFont="1" applyFill="1"/>
    <xf numFmtId="0" fontId="1" fillId="21" borderId="1" xfId="0" applyFont="1" applyFill="1" applyBorder="1" applyAlignment="1">
      <alignment horizontal="center"/>
    </xf>
    <xf numFmtId="0" fontId="1" fillId="23" borderId="1" xfId="0" applyFont="1" applyFill="1" applyBorder="1" applyAlignment="1">
      <alignment horizontal="center"/>
    </xf>
    <xf numFmtId="0" fontId="1" fillId="22" borderId="0" xfId="0" applyFont="1" applyFill="1" applyAlignment="1">
      <alignment horizontal="center"/>
    </xf>
    <xf numFmtId="165" fontId="1" fillId="23" borderId="1" xfId="0" applyNumberFormat="1" applyFont="1" applyFill="1" applyBorder="1" applyAlignment="1">
      <alignment horizontal="center"/>
    </xf>
    <xf numFmtId="9" fontId="1" fillId="23" borderId="1" xfId="0" applyNumberFormat="1" applyFont="1" applyFill="1" applyBorder="1" applyAlignment="1">
      <alignment horizontal="center"/>
    </xf>
    <xf numFmtId="0" fontId="1" fillId="0" borderId="0" xfId="0" applyFont="1" applyAlignment="1">
      <alignment horizontal="center"/>
    </xf>
    <xf numFmtId="0" fontId="1" fillId="0" borderId="0" xfId="0" applyFont="1" applyAlignment="1">
      <alignment horizontal="center"/>
    </xf>
    <xf numFmtId="0" fontId="0" fillId="23" borderId="1" xfId="0" applyFill="1" applyBorder="1"/>
    <xf numFmtId="165" fontId="0" fillId="0" borderId="0" xfId="0" applyNumberFormat="1"/>
    <xf numFmtId="9" fontId="1" fillId="0" borderId="0" xfId="0" applyNumberFormat="1" applyFont="1" applyAlignment="1">
      <alignment horizontal="center"/>
    </xf>
    <xf numFmtId="1" fontId="0" fillId="0" borderId="0" xfId="0" applyNumberFormat="1"/>
    <xf numFmtId="9" fontId="0" fillId="0" borderId="1" xfId="0" applyNumberFormat="1" applyBorder="1"/>
    <xf numFmtId="1" fontId="0" fillId="0" borderId="1" xfId="0" applyNumberFormat="1" applyBorder="1"/>
    <xf numFmtId="0" fontId="1" fillId="0" borderId="1" xfId="0" applyFont="1" applyBorder="1" applyAlignment="1">
      <alignment horizontal="center"/>
    </xf>
    <xf numFmtId="164" fontId="0" fillId="0" borderId="1" xfId="0" applyNumberFormat="1" applyBorder="1"/>
    <xf numFmtId="1" fontId="1" fillId="23" borderId="1" xfId="0" applyNumberFormat="1" applyFont="1" applyFill="1" applyBorder="1" applyAlignment="1">
      <alignment horizontal="center"/>
    </xf>
    <xf numFmtId="1" fontId="0" fillId="23" borderId="1" xfId="0" applyNumberFormat="1" applyFill="1" applyBorder="1"/>
    <xf numFmtId="0" fontId="0" fillId="0" borderId="0" xfId="0" applyAlignment="1">
      <alignment horizontal="center"/>
    </xf>
    <xf numFmtId="0" fontId="1" fillId="5" borderId="0" xfId="0" applyFont="1" applyFill="1" applyAlignment="1">
      <alignment horizontal="center"/>
    </xf>
    <xf numFmtId="0" fontId="0" fillId="5" borderId="0" xfId="0" applyFill="1" applyAlignment="1">
      <alignment horizontal="center"/>
    </xf>
    <xf numFmtId="165" fontId="1" fillId="21" borderId="1" xfId="0" applyNumberFormat="1" applyFont="1" applyFill="1" applyBorder="1" applyAlignment="1">
      <alignment horizontal="center"/>
    </xf>
    <xf numFmtId="1" fontId="1" fillId="21" borderId="1" xfId="0" applyNumberFormat="1" applyFont="1" applyFill="1" applyBorder="1" applyAlignment="1">
      <alignment horizontal="center"/>
    </xf>
    <xf numFmtId="0" fontId="1" fillId="5" borderId="0" xfId="0" applyFont="1" applyFill="1" applyAlignment="1">
      <alignment horizontal="center" vertical="center"/>
    </xf>
    <xf numFmtId="166" fontId="0" fillId="0" borderId="0" xfId="0" applyNumberFormat="1" applyAlignment="1">
      <alignment horizontal="center"/>
    </xf>
    <xf numFmtId="166" fontId="0" fillId="0" borderId="1" xfId="0" applyNumberFormat="1" applyBorder="1" applyAlignment="1">
      <alignment horizontal="center"/>
    </xf>
    <xf numFmtId="0" fontId="0" fillId="24" borderId="1" xfId="0" applyFill="1" applyBorder="1" applyAlignment="1">
      <alignment horizontal="center"/>
    </xf>
    <xf numFmtId="10" fontId="0" fillId="24" borderId="1" xfId="0" applyNumberFormat="1" applyFill="1" applyBorder="1" applyAlignment="1">
      <alignment horizontal="center"/>
    </xf>
    <xf numFmtId="0" fontId="1" fillId="0" borderId="0" xfId="0" applyFont="1" applyAlignment="1">
      <alignment horizontal="left"/>
    </xf>
    <xf numFmtId="0" fontId="0" fillId="0" borderId="0" xfId="0" applyAlignment="1">
      <alignment horizontal="center"/>
    </xf>
    <xf numFmtId="0" fontId="1" fillId="5" borderId="0" xfId="0" applyFont="1" applyFill="1" applyAlignment="1">
      <alignment horizontal="center"/>
    </xf>
    <xf numFmtId="0" fontId="0" fillId="0" borderId="0" xfId="0" applyAlignment="1">
      <alignment horizontal="center"/>
    </xf>
    <xf numFmtId="0" fontId="1" fillId="5" borderId="0" xfId="0" applyFont="1" applyFill="1" applyAlignment="1">
      <alignment horizontal="center"/>
    </xf>
    <xf numFmtId="16" fontId="0" fillId="0" borderId="0" xfId="0" applyNumberFormat="1" applyAlignment="1">
      <alignment horizontal="center"/>
    </xf>
    <xf numFmtId="2" fontId="0" fillId="0" borderId="0" xfId="0" applyNumberFormat="1" applyAlignment="1">
      <alignment horizontal="center"/>
    </xf>
    <xf numFmtId="0" fontId="0" fillId="3" borderId="0" xfId="0" applyFill="1"/>
    <xf numFmtId="16" fontId="1" fillId="10" borderId="0" xfId="0" applyNumberFormat="1" applyFont="1" applyFill="1" applyAlignment="1">
      <alignment horizontal="center"/>
    </xf>
    <xf numFmtId="16" fontId="1" fillId="5" borderId="0" xfId="0" applyNumberFormat="1" applyFont="1" applyFill="1" applyAlignment="1">
      <alignment horizontal="center"/>
    </xf>
    <xf numFmtId="0" fontId="1" fillId="20" borderId="0" xfId="0" applyFont="1" applyFill="1" applyAlignment="1">
      <alignment horizontal="center"/>
    </xf>
    <xf numFmtId="14" fontId="0" fillId="0" borderId="1" xfId="0" applyNumberFormat="1" applyBorder="1" applyAlignment="1">
      <alignment horizontal="center"/>
    </xf>
    <xf numFmtId="0" fontId="0" fillId="0" borderId="5" xfId="0" applyBorder="1"/>
    <xf numFmtId="0" fontId="0" fillId="0" borderId="2" xfId="0" applyBorder="1"/>
    <xf numFmtId="0" fontId="0" fillId="0" borderId="6" xfId="0" applyBorder="1"/>
    <xf numFmtId="0" fontId="0" fillId="0" borderId="3" xfId="0" applyBorder="1"/>
    <xf numFmtId="0" fontId="0" fillId="0" borderId="7" xfId="0" applyBorder="1"/>
    <xf numFmtId="0" fontId="0" fillId="0" borderId="0" xfId="0" applyBorder="1"/>
    <xf numFmtId="0" fontId="0" fillId="0" borderId="2" xfId="0" applyBorder="1"/>
    <xf numFmtId="0" fontId="1" fillId="5" borderId="12" xfId="0" applyFont="1" applyFill="1" applyBorder="1" applyAlignment="1">
      <alignment horizontal="center"/>
    </xf>
    <xf numFmtId="0" fontId="1" fillId="5" borderId="1" xfId="0" applyFont="1" applyFill="1" applyBorder="1" applyAlignment="1">
      <alignment horizontal="center"/>
    </xf>
    <xf numFmtId="0" fontId="0" fillId="0" borderId="2" xfId="0" applyBorder="1" applyAlignment="1">
      <alignment horizontal="right"/>
    </xf>
    <xf numFmtId="0" fontId="0" fillId="0" borderId="16" xfId="0" applyBorder="1" applyAlignment="1">
      <alignment horizontal="center"/>
    </xf>
    <xf numFmtId="0" fontId="0" fillId="0" borderId="16" xfId="0" applyBorder="1"/>
    <xf numFmtId="0" fontId="0" fillId="0" borderId="17" xfId="0" applyBorder="1" applyAlignment="1">
      <alignment horizontal="center"/>
    </xf>
    <xf numFmtId="0" fontId="0" fillId="0" borderId="16" xfId="0" applyFill="1" applyBorder="1" applyAlignment="1">
      <alignment horizontal="center"/>
    </xf>
    <xf numFmtId="0" fontId="1" fillId="0" borderId="1" xfId="0" applyFont="1" applyFill="1" applyBorder="1" applyAlignment="1">
      <alignment horizontal="center"/>
    </xf>
    <xf numFmtId="0" fontId="1" fillId="5" borderId="18" xfId="0" applyFont="1" applyFill="1" applyBorder="1"/>
    <xf numFmtId="0" fontId="0" fillId="5" borderId="14" xfId="0" applyFill="1" applyBorder="1"/>
    <xf numFmtId="0" fontId="1" fillId="5" borderId="15" xfId="0" applyFont="1" applyFill="1" applyBorder="1" applyAlignment="1">
      <alignment horizontal="right"/>
    </xf>
    <xf numFmtId="0" fontId="1" fillId="5" borderId="13" xfId="0" applyFont="1" applyFill="1" applyBorder="1"/>
    <xf numFmtId="0" fontId="0" fillId="0" borderId="13" xfId="0" applyBorder="1"/>
    <xf numFmtId="0" fontId="1" fillId="0" borderId="17" xfId="0" applyFont="1" applyBorder="1" applyAlignment="1">
      <alignment horizontal="center"/>
    </xf>
    <xf numFmtId="0" fontId="1" fillId="0" borderId="16" xfId="0" applyFont="1" applyBorder="1" applyAlignment="1">
      <alignment horizontal="center"/>
    </xf>
    <xf numFmtId="0" fontId="1" fillId="0" borderId="16" xfId="0" applyFont="1" applyFill="1" applyBorder="1" applyAlignment="1">
      <alignment horizontal="center"/>
    </xf>
    <xf numFmtId="0" fontId="12" fillId="0" borderId="1" xfId="0" applyFont="1" applyBorder="1" applyAlignment="1">
      <alignment horizontal="center"/>
    </xf>
    <xf numFmtId="0" fontId="12" fillId="0" borderId="1" xfId="0" applyFont="1" applyFill="1" applyBorder="1" applyAlignment="1">
      <alignment horizontal="center"/>
    </xf>
    <xf numFmtId="0" fontId="0" fillId="0" borderId="21" xfId="0" applyBorder="1"/>
    <xf numFmtId="0" fontId="0" fillId="0" borderId="19" xfId="0" applyBorder="1"/>
    <xf numFmtId="0" fontId="0" fillId="0" borderId="22" xfId="0" applyBorder="1"/>
    <xf numFmtId="0" fontId="0" fillId="0" borderId="24" xfId="0" applyBorder="1"/>
    <xf numFmtId="0" fontId="1" fillId="0" borderId="24" xfId="0" applyFont="1" applyBorder="1"/>
    <xf numFmtId="0" fontId="0" fillId="0" borderId="23" xfId="0" applyBorder="1"/>
    <xf numFmtId="0" fontId="0" fillId="5" borderId="29" xfId="0" applyFill="1" applyBorder="1"/>
    <xf numFmtId="0" fontId="1" fillId="0" borderId="33" xfId="0" applyFont="1" applyBorder="1" applyAlignment="1">
      <alignment horizontal="center"/>
    </xf>
    <xf numFmtId="0" fontId="1" fillId="0" borderId="27" xfId="0" applyFont="1" applyBorder="1" applyAlignment="1">
      <alignment horizontal="center"/>
    </xf>
    <xf numFmtId="0" fontId="0" fillId="0" borderId="34" xfId="0" applyBorder="1" applyAlignment="1">
      <alignment horizontal="center"/>
    </xf>
    <xf numFmtId="0" fontId="1" fillId="0" borderId="35" xfId="0" applyFont="1" applyBorder="1" applyAlignment="1">
      <alignment horizontal="right"/>
    </xf>
    <xf numFmtId="0" fontId="1" fillId="0" borderId="36" xfId="0" applyFont="1" applyBorder="1" applyAlignment="1">
      <alignment horizontal="right"/>
    </xf>
    <xf numFmtId="0" fontId="0" fillId="0" borderId="34" xfId="0" applyBorder="1"/>
    <xf numFmtId="0" fontId="0" fillId="0" borderId="36" xfId="0" applyBorder="1"/>
    <xf numFmtId="0" fontId="1" fillId="0" borderId="37" xfId="0" applyFont="1" applyBorder="1"/>
    <xf numFmtId="0" fontId="1" fillId="0" borderId="36" xfId="0" applyFont="1" applyBorder="1"/>
    <xf numFmtId="0" fontId="1" fillId="5" borderId="38" xfId="0" applyFont="1" applyFill="1" applyBorder="1"/>
    <xf numFmtId="0" fontId="1" fillId="5" borderId="39" xfId="0" applyFont="1" applyFill="1" applyBorder="1"/>
    <xf numFmtId="0" fontId="1" fillId="0" borderId="23" xfId="0" applyFont="1" applyBorder="1"/>
    <xf numFmtId="0" fontId="0" fillId="0" borderId="39" xfId="0" applyBorder="1"/>
    <xf numFmtId="0" fontId="0" fillId="0" borderId="38" xfId="0" applyBorder="1"/>
    <xf numFmtId="0" fontId="1" fillId="5" borderId="40" xfId="0" applyFont="1" applyFill="1" applyBorder="1" applyAlignment="1">
      <alignment horizontal="left" indent="10"/>
    </xf>
    <xf numFmtId="0" fontId="1" fillId="5" borderId="41" xfId="0" applyFont="1" applyFill="1" applyBorder="1" applyAlignment="1">
      <alignment horizontal="left" indent="10"/>
    </xf>
    <xf numFmtId="0" fontId="1" fillId="5" borderId="42" xfId="0" applyFont="1" applyFill="1" applyBorder="1" applyAlignment="1">
      <alignment horizontal="left" indent="10"/>
    </xf>
    <xf numFmtId="0" fontId="1" fillId="5" borderId="1" xfId="0" applyFont="1" applyFill="1" applyBorder="1" applyAlignment="1">
      <alignment horizontal="center"/>
    </xf>
    <xf numFmtId="0" fontId="1" fillId="0" borderId="0" xfId="0" applyFont="1" applyAlignment="1">
      <alignment horizontal="center"/>
    </xf>
    <xf numFmtId="0" fontId="0" fillId="0" borderId="0" xfId="0" applyAlignment="1">
      <alignment horizontal="center"/>
    </xf>
    <xf numFmtId="0" fontId="1" fillId="5" borderId="1" xfId="0" applyFont="1" applyFill="1" applyBorder="1" applyAlignment="1">
      <alignment horizontal="center"/>
    </xf>
    <xf numFmtId="0" fontId="0" fillId="21" borderId="1" xfId="0" applyFill="1" applyBorder="1" applyAlignment="1">
      <alignment horizontal="center"/>
    </xf>
    <xf numFmtId="0" fontId="1" fillId="0" borderId="0" xfId="0" applyFont="1" applyAlignment="1">
      <alignment horizontal="center"/>
    </xf>
    <xf numFmtId="0" fontId="1" fillId="5" borderId="1" xfId="0" applyFont="1" applyFill="1" applyBorder="1" applyAlignment="1">
      <alignment horizontal="center"/>
    </xf>
    <xf numFmtId="0" fontId="1" fillId="25" borderId="1" xfId="0" applyFont="1" applyFill="1" applyBorder="1" applyAlignment="1">
      <alignment horizontal="center"/>
    </xf>
    <xf numFmtId="0" fontId="1" fillId="25" borderId="17" xfId="0" applyFont="1" applyFill="1" applyBorder="1" applyAlignment="1">
      <alignment horizontal="center"/>
    </xf>
    <xf numFmtId="0" fontId="13" fillId="3" borderId="1" xfId="0" applyFont="1" applyFill="1" applyBorder="1" applyAlignment="1">
      <alignment horizontal="center"/>
    </xf>
    <xf numFmtId="0" fontId="13" fillId="3" borderId="17" xfId="0" applyFont="1" applyFill="1" applyBorder="1" applyAlignment="1">
      <alignment horizontal="center"/>
    </xf>
    <xf numFmtId="0" fontId="1" fillId="5" borderId="17" xfId="0" applyFont="1" applyFill="1" applyBorder="1" applyAlignment="1">
      <alignment horizontal="center"/>
    </xf>
    <xf numFmtId="0" fontId="0" fillId="0" borderId="0" xfId="0" applyBorder="1" applyAlignment="1">
      <alignment horizontal="center"/>
    </xf>
    <xf numFmtId="0" fontId="0" fillId="0" borderId="0" xfId="0" applyFont="1" applyAlignment="1">
      <alignment horizontal="center"/>
    </xf>
    <xf numFmtId="0" fontId="8" fillId="0" borderId="0" xfId="0" applyFont="1" applyAlignment="1">
      <alignment horizontal="center"/>
    </xf>
    <xf numFmtId="0" fontId="14" fillId="0" borderId="0" xfId="0" applyFont="1" applyAlignment="1">
      <alignment horizontal="center"/>
    </xf>
    <xf numFmtId="0" fontId="15" fillId="0" borderId="0" xfId="0" applyFont="1" applyAlignment="1">
      <alignment horizontal="center"/>
    </xf>
    <xf numFmtId="0" fontId="13" fillId="3" borderId="11" xfId="0" applyFont="1" applyFill="1" applyBorder="1" applyAlignment="1">
      <alignment horizontal="center"/>
    </xf>
    <xf numFmtId="0" fontId="0" fillId="0" borderId="0" xfId="0" applyAlignment="1">
      <alignment horizontal="center"/>
    </xf>
    <xf numFmtId="0" fontId="0" fillId="0" borderId="0" xfId="0" applyAlignment="1">
      <alignment horizontal="center"/>
    </xf>
    <xf numFmtId="0" fontId="16" fillId="0" borderId="1" xfId="0" applyFont="1" applyBorder="1" applyAlignment="1">
      <alignment horizontal="center"/>
    </xf>
    <xf numFmtId="14" fontId="16" fillId="0" borderId="1" xfId="0" applyNumberFormat="1" applyFont="1" applyBorder="1" applyAlignment="1">
      <alignment horizontal="center"/>
    </xf>
    <xf numFmtId="0" fontId="1" fillId="2" borderId="0" xfId="0" applyFont="1" applyFill="1" applyAlignment="1">
      <alignment horizontal="center"/>
    </xf>
    <xf numFmtId="0" fontId="1" fillId="26" borderId="0" xfId="0" applyFont="1" applyFill="1" applyAlignment="1">
      <alignment horizontal="center"/>
    </xf>
    <xf numFmtId="0" fontId="0" fillId="0" borderId="0" xfId="0" applyAlignment="1">
      <alignment horizontal="center"/>
    </xf>
    <xf numFmtId="0" fontId="1" fillId="5" borderId="0" xfId="0" applyFont="1" applyFill="1" applyAlignment="1">
      <alignment horizontal="center"/>
    </xf>
    <xf numFmtId="16" fontId="0" fillId="3" borderId="1" xfId="0" applyNumberFormat="1" applyFill="1" applyBorder="1" applyAlignment="1">
      <alignment horizontal="center"/>
    </xf>
    <xf numFmtId="16" fontId="0" fillId="3" borderId="46" xfId="0" applyNumberFormat="1" applyFill="1" applyBorder="1" applyAlignment="1">
      <alignment horizontal="center"/>
    </xf>
    <xf numFmtId="0" fontId="0" fillId="3" borderId="1" xfId="0" applyFill="1" applyBorder="1"/>
    <xf numFmtId="0" fontId="0" fillId="0" borderId="0" xfId="0" applyAlignment="1">
      <alignment horizontal="center"/>
    </xf>
    <xf numFmtId="0" fontId="0" fillId="0" borderId="0" xfId="0" applyAlignment="1">
      <alignment horizontal="center"/>
    </xf>
    <xf numFmtId="0" fontId="1" fillId="0" borderId="0" xfId="0" applyFont="1" applyAlignment="1">
      <alignment horizontal="center"/>
    </xf>
    <xf numFmtId="0" fontId="0" fillId="0" borderId="0" xfId="0" applyAlignment="1">
      <alignment horizontal="center"/>
    </xf>
    <xf numFmtId="0" fontId="1" fillId="5" borderId="0" xfId="0" applyFont="1" applyFill="1" applyAlignment="1">
      <alignment horizontal="center"/>
    </xf>
    <xf numFmtId="0" fontId="17" fillId="0" borderId="0" xfId="0" applyFont="1" applyAlignment="1">
      <alignment horizontal="center"/>
    </xf>
    <xf numFmtId="0" fontId="4" fillId="0" borderId="0" xfId="0" applyFont="1" applyAlignment="1">
      <alignment horizontal="center"/>
    </xf>
    <xf numFmtId="0" fontId="18" fillId="0" borderId="0" xfId="0" applyFont="1" applyAlignment="1">
      <alignment horizontal="center"/>
    </xf>
    <xf numFmtId="165" fontId="1" fillId="5" borderId="1" xfId="0" applyNumberFormat="1" applyFont="1" applyFill="1" applyBorder="1" applyAlignment="1">
      <alignment horizontal="center"/>
    </xf>
    <xf numFmtId="1" fontId="1" fillId="5" borderId="1" xfId="0" applyNumberFormat="1" applyFont="1" applyFill="1" applyBorder="1" applyAlignment="1">
      <alignment horizontal="center"/>
    </xf>
    <xf numFmtId="1" fontId="1" fillId="23" borderId="1" xfId="0" applyNumberFormat="1" applyFont="1" applyFill="1" applyBorder="1"/>
    <xf numFmtId="1" fontId="1" fillId="5" borderId="0" xfId="0" applyNumberFormat="1" applyFont="1" applyFill="1" applyAlignment="1">
      <alignment horizontal="center"/>
    </xf>
    <xf numFmtId="0" fontId="1" fillId="0" borderId="0" xfId="0" applyFont="1" applyAlignment="1">
      <alignment horizontal="center"/>
    </xf>
    <xf numFmtId="0" fontId="0" fillId="0" borderId="0" xfId="0" applyAlignment="1">
      <alignment horizontal="center"/>
    </xf>
    <xf numFmtId="0" fontId="1" fillId="5" borderId="0" xfId="0" applyFont="1" applyFill="1" applyAlignment="1">
      <alignment horizontal="center"/>
    </xf>
    <xf numFmtId="0" fontId="1" fillId="27" borderId="1" xfId="0" applyFont="1" applyFill="1" applyBorder="1"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1" fillId="13" borderId="0" xfId="0" applyFont="1" applyFill="1" applyAlignment="1">
      <alignment horizontal="center"/>
    </xf>
    <xf numFmtId="0" fontId="1" fillId="0" borderId="0" xfId="0" applyFont="1" applyAlignment="1">
      <alignment horizontal="center"/>
    </xf>
    <xf numFmtId="0" fontId="0" fillId="0" borderId="0" xfId="0" applyAlignment="1">
      <alignment horizontal="center"/>
    </xf>
    <xf numFmtId="0" fontId="1" fillId="5" borderId="0" xfId="0" applyFont="1" applyFill="1" applyAlignment="1">
      <alignment horizontal="center"/>
    </xf>
    <xf numFmtId="0" fontId="11" fillId="22" borderId="0" xfId="0" applyFont="1" applyFill="1" applyAlignment="1">
      <alignment horizontal="center"/>
    </xf>
    <xf numFmtId="0" fontId="1" fillId="22" borderId="0" xfId="0" applyFont="1" applyFill="1" applyAlignment="1">
      <alignment horizontal="center"/>
    </xf>
    <xf numFmtId="0" fontId="1" fillId="22" borderId="3" xfId="0" applyFont="1" applyFill="1" applyBorder="1" applyAlignment="1">
      <alignment horizontal="center"/>
    </xf>
    <xf numFmtId="0" fontId="1" fillId="22" borderId="0" xfId="0" applyFont="1" applyFill="1" applyAlignment="1">
      <alignment horizontal="center" vertical="center"/>
    </xf>
    <xf numFmtId="0" fontId="0" fillId="0" borderId="23" xfId="0" applyBorder="1"/>
    <xf numFmtId="0" fontId="0" fillId="0" borderId="0" xfId="0" applyBorder="1"/>
    <xf numFmtId="0" fontId="0" fillId="0" borderId="2" xfId="0" applyBorder="1"/>
    <xf numFmtId="0" fontId="12" fillId="0" borderId="31" xfId="0" applyFont="1" applyBorder="1"/>
    <xf numFmtId="0" fontId="12" fillId="0" borderId="3" xfId="0" applyFont="1" applyBorder="1"/>
    <xf numFmtId="0" fontId="12" fillId="0" borderId="7" xfId="0" applyFont="1" applyBorder="1"/>
    <xf numFmtId="0" fontId="1" fillId="0" borderId="4" xfId="0" applyFont="1" applyBorder="1"/>
    <xf numFmtId="0" fontId="1" fillId="0" borderId="30" xfId="0" applyFont="1" applyBorder="1"/>
    <xf numFmtId="0" fontId="12" fillId="0" borderId="23" xfId="0" applyFont="1" applyBorder="1"/>
    <xf numFmtId="0" fontId="12" fillId="0" borderId="0" xfId="0" applyFont="1" applyBorder="1"/>
    <xf numFmtId="0" fontId="1" fillId="0" borderId="6" xfId="0" applyFont="1" applyBorder="1"/>
    <xf numFmtId="0" fontId="1" fillId="0" borderId="32" xfId="0" applyFont="1" applyBorder="1"/>
    <xf numFmtId="14" fontId="12" fillId="0" borderId="1" xfId="0" applyNumberFormat="1" applyFont="1" applyBorder="1" applyAlignment="1">
      <alignment horizontal="center"/>
    </xf>
    <xf numFmtId="14" fontId="12" fillId="0" borderId="27" xfId="0" applyNumberFormat="1" applyFont="1" applyBorder="1" applyAlignment="1">
      <alignment horizontal="center"/>
    </xf>
    <xf numFmtId="0" fontId="1" fillId="5" borderId="1" xfId="0" applyFont="1" applyFill="1" applyBorder="1" applyAlignment="1">
      <alignment horizontal="center"/>
    </xf>
    <xf numFmtId="0" fontId="1" fillId="5" borderId="27" xfId="0" applyFont="1" applyFill="1" applyBorder="1" applyAlignment="1">
      <alignment horizontal="center"/>
    </xf>
    <xf numFmtId="0" fontId="1" fillId="0" borderId="0" xfId="0" applyFont="1" applyBorder="1" applyAlignment="1">
      <alignment horizontal="center"/>
    </xf>
    <xf numFmtId="0" fontId="1" fillId="0" borderId="24" xfId="0" applyFont="1" applyBorder="1" applyAlignment="1">
      <alignment horizontal="center"/>
    </xf>
    <xf numFmtId="0" fontId="1" fillId="0" borderId="31" xfId="0" applyFont="1" applyBorder="1" applyAlignment="1">
      <alignment horizontal="center"/>
    </xf>
    <xf numFmtId="0" fontId="1" fillId="0" borderId="3" xfId="0" applyFont="1" applyBorder="1" applyAlignment="1">
      <alignment horizontal="center"/>
    </xf>
    <xf numFmtId="0" fontId="1" fillId="0" borderId="32" xfId="0" applyFont="1" applyBorder="1" applyAlignment="1">
      <alignment horizontal="center"/>
    </xf>
    <xf numFmtId="0" fontId="1" fillId="0" borderId="21" xfId="0" applyFont="1" applyBorder="1" applyAlignment="1">
      <alignment horizontal="center"/>
    </xf>
    <xf numFmtId="0" fontId="1" fillId="0" borderId="19" xfId="0" applyFont="1" applyBorder="1" applyAlignment="1">
      <alignment horizontal="center"/>
    </xf>
    <xf numFmtId="0" fontId="1" fillId="0" borderId="22" xfId="0" applyFont="1" applyBorder="1" applyAlignment="1">
      <alignment horizontal="center"/>
    </xf>
    <xf numFmtId="0" fontId="1" fillId="5" borderId="28" xfId="0" applyFont="1" applyFill="1" applyBorder="1" applyAlignment="1">
      <alignment horizontal="center"/>
    </xf>
    <xf numFmtId="0" fontId="1" fillId="5" borderId="10" xfId="0" applyFont="1" applyFill="1" applyBorder="1" applyAlignment="1">
      <alignment horizontal="center"/>
    </xf>
    <xf numFmtId="0" fontId="1" fillId="5" borderId="11" xfId="0" applyFont="1" applyFill="1" applyBorder="1" applyAlignment="1">
      <alignment horizontal="center"/>
    </xf>
    <xf numFmtId="0" fontId="1" fillId="0" borderId="0" xfId="0" applyFont="1" applyBorder="1"/>
    <xf numFmtId="0" fontId="1" fillId="0" borderId="24" xfId="0" applyFont="1" applyBorder="1"/>
    <xf numFmtId="0" fontId="1" fillId="0" borderId="20" xfId="0" applyFont="1" applyBorder="1" applyAlignment="1">
      <alignment horizontal="center"/>
    </xf>
    <xf numFmtId="0" fontId="1" fillId="0" borderId="2" xfId="0" applyFont="1" applyBorder="1" applyAlignment="1">
      <alignment horizontal="center"/>
    </xf>
    <xf numFmtId="0" fontId="12" fillId="0" borderId="43" xfId="0" applyFont="1" applyBorder="1"/>
    <xf numFmtId="0" fontId="12" fillId="0" borderId="44" xfId="0" applyFont="1" applyBorder="1"/>
    <xf numFmtId="0" fontId="12" fillId="0" borderId="45" xfId="0" applyFont="1" applyBorder="1"/>
    <xf numFmtId="0" fontId="0" fillId="0" borderId="5" xfId="0" applyBorder="1"/>
    <xf numFmtId="0" fontId="0" fillId="0" borderId="24" xfId="0" applyBorder="1"/>
    <xf numFmtId="0" fontId="11" fillId="0" borderId="23" xfId="0" applyFont="1" applyBorder="1" applyAlignment="1">
      <alignment horizontal="center"/>
    </xf>
    <xf numFmtId="0" fontId="11" fillId="0" borderId="0" xfId="0" applyFont="1" applyBorder="1" applyAlignment="1">
      <alignment horizontal="center"/>
    </xf>
    <xf numFmtId="0" fontId="11" fillId="0" borderId="25" xfId="0" applyFont="1" applyBorder="1" applyAlignment="1">
      <alignment horizontal="center"/>
    </xf>
    <xf numFmtId="0" fontId="11" fillId="0" borderId="8" xfId="0" applyFont="1" applyBorder="1" applyAlignment="1">
      <alignment horizontal="center"/>
    </xf>
    <xf numFmtId="0" fontId="12" fillId="0" borderId="26" xfId="0" applyFont="1" applyBorder="1"/>
    <xf numFmtId="0" fontId="12" fillId="0" borderId="9" xfId="0" applyFont="1" applyBorder="1"/>
  </cellXfs>
  <cellStyles count="1">
    <cellStyle name="Normal" xfId="0" builtinId="0"/>
  </cellStyles>
  <dxfs count="4">
    <dxf>
      <fill>
        <patternFill>
          <bgColor rgb="FFFF3300"/>
        </patternFill>
      </fill>
    </dxf>
    <dxf>
      <numFmt numFmtId="167" formatCode="dd/mm/yyyy"/>
    </dxf>
    <dxf>
      <font>
        <color rgb="FFF468B8"/>
      </font>
    </dxf>
    <dxf>
      <font>
        <color rgb="FF00B0F0"/>
      </font>
    </dxf>
  </dxfs>
  <tableStyles count="0" defaultTableStyle="TableStyleMedium2" defaultPivotStyle="PivotStyleLight16"/>
  <colors>
    <mruColors>
      <color rgb="FFFF3300"/>
      <color rgb="FFF468B8"/>
      <color rgb="FFE8A84A"/>
      <color rgb="FFD1904F"/>
      <color rgb="FFCC9900"/>
      <color rgb="FFFF9900"/>
      <color rgb="FFCC6600"/>
      <color rgb="FFAEC2FC"/>
      <color rgb="FFFABCDF"/>
      <color rgb="FFBAE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pivotCacheDefinition" Target="pivotCache/pivotCacheDefinition1.xml"/><Relationship Id="rId50" Type="http://schemas.microsoft.com/office/2007/relationships/slicerCache" Target="slicerCaches/slicerCache3.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microsoft.com/office/2007/relationships/slicerCache" Target="slicerCaches/slicerCache1.xml"/><Relationship Id="rId56" Type="http://schemas.openxmlformats.org/officeDocument/2006/relationships/sheetMetadata" Target="metadata.xml"/><Relationship Id="rId8" Type="http://schemas.openxmlformats.org/officeDocument/2006/relationships/worksheet" Target="worksheets/sheet8.xml"/><Relationship Id="rId51" Type="http://schemas.microsoft.com/office/2007/relationships/slicerCache" Target="slicerCaches/slicerCache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07/relationships/slicerCache" Target="slicerCaches/slicerCache2.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'DASHBOARD 1'!$H$6</c:f>
              <c:strCache>
                <c:ptCount val="1"/>
                <c:pt idx="0">
                  <c:v>JAN</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'DASHBOARD 1'!$G$7:$G$35</c:f>
              <c:strCache>
                <c:ptCount val="29"/>
                <c:pt idx="0">
                  <c:v>SANJANA</c:v>
                </c:pt>
                <c:pt idx="1">
                  <c:v>KOMAL</c:v>
                </c:pt>
                <c:pt idx="2">
                  <c:v>CHETNA</c:v>
                </c:pt>
                <c:pt idx="3">
                  <c:v>NATO</c:v>
                </c:pt>
                <c:pt idx="4">
                  <c:v>MOHAN</c:v>
                </c:pt>
                <c:pt idx="5">
                  <c:v>KOMAL</c:v>
                </c:pt>
                <c:pt idx="6">
                  <c:v>POOJA</c:v>
                </c:pt>
                <c:pt idx="7">
                  <c:v>SHANMUGHAM</c:v>
                </c:pt>
                <c:pt idx="8">
                  <c:v>SANJANA</c:v>
                </c:pt>
                <c:pt idx="9">
                  <c:v>KOMAL</c:v>
                </c:pt>
                <c:pt idx="10">
                  <c:v>CHETNA</c:v>
                </c:pt>
                <c:pt idx="11">
                  <c:v>RASHMI</c:v>
                </c:pt>
                <c:pt idx="12">
                  <c:v>NATO</c:v>
                </c:pt>
                <c:pt idx="13">
                  <c:v>SID</c:v>
                </c:pt>
                <c:pt idx="14">
                  <c:v>MOHAN</c:v>
                </c:pt>
                <c:pt idx="15">
                  <c:v>SHANMUGHAM</c:v>
                </c:pt>
                <c:pt idx="16">
                  <c:v>GAURAV</c:v>
                </c:pt>
                <c:pt idx="17">
                  <c:v>POOJA</c:v>
                </c:pt>
                <c:pt idx="18">
                  <c:v>CHARU</c:v>
                </c:pt>
                <c:pt idx="19">
                  <c:v>YASH</c:v>
                </c:pt>
                <c:pt idx="20">
                  <c:v>JASHWANT</c:v>
                </c:pt>
                <c:pt idx="21">
                  <c:v>KARAN</c:v>
                </c:pt>
                <c:pt idx="22">
                  <c:v>SANJANA</c:v>
                </c:pt>
                <c:pt idx="23">
                  <c:v>MOHAN</c:v>
                </c:pt>
                <c:pt idx="24">
                  <c:v>SHANUMGHAM</c:v>
                </c:pt>
                <c:pt idx="25">
                  <c:v>PERUMAL</c:v>
                </c:pt>
                <c:pt idx="26">
                  <c:v>KOMAL</c:v>
                </c:pt>
                <c:pt idx="27">
                  <c:v>CHARU</c:v>
                </c:pt>
                <c:pt idx="28">
                  <c:v>YASH</c:v>
                </c:pt>
              </c:strCache>
            </c:strRef>
          </c:cat>
          <c:val>
            <c:numRef>
              <c:f>'DASHBOARD 1'!$H$7:$H$35</c:f>
              <c:numCache>
                <c:formatCode>General</c:formatCode>
                <c:ptCount val="29"/>
                <c:pt idx="0">
                  <c:v>56</c:v>
                </c:pt>
                <c:pt idx="1">
                  <c:v>158</c:v>
                </c:pt>
                <c:pt idx="2">
                  <c:v>106</c:v>
                </c:pt>
                <c:pt idx="3">
                  <c:v>136</c:v>
                </c:pt>
                <c:pt idx="4">
                  <c:v>180</c:v>
                </c:pt>
                <c:pt idx="5">
                  <c:v>59</c:v>
                </c:pt>
                <c:pt idx="6">
                  <c:v>186</c:v>
                </c:pt>
                <c:pt idx="7">
                  <c:v>200</c:v>
                </c:pt>
                <c:pt idx="8">
                  <c:v>160</c:v>
                </c:pt>
                <c:pt idx="9">
                  <c:v>100</c:v>
                </c:pt>
                <c:pt idx="10">
                  <c:v>55</c:v>
                </c:pt>
                <c:pt idx="11">
                  <c:v>129</c:v>
                </c:pt>
                <c:pt idx="12">
                  <c:v>74</c:v>
                </c:pt>
                <c:pt idx="13">
                  <c:v>133</c:v>
                </c:pt>
                <c:pt idx="14">
                  <c:v>109</c:v>
                </c:pt>
                <c:pt idx="15">
                  <c:v>92</c:v>
                </c:pt>
                <c:pt idx="16">
                  <c:v>64</c:v>
                </c:pt>
                <c:pt idx="17">
                  <c:v>90</c:v>
                </c:pt>
                <c:pt idx="18">
                  <c:v>141</c:v>
                </c:pt>
                <c:pt idx="19">
                  <c:v>141</c:v>
                </c:pt>
                <c:pt idx="20">
                  <c:v>109</c:v>
                </c:pt>
                <c:pt idx="21">
                  <c:v>169</c:v>
                </c:pt>
                <c:pt idx="22">
                  <c:v>77</c:v>
                </c:pt>
                <c:pt idx="23">
                  <c:v>143</c:v>
                </c:pt>
                <c:pt idx="24">
                  <c:v>194</c:v>
                </c:pt>
                <c:pt idx="25">
                  <c:v>88</c:v>
                </c:pt>
                <c:pt idx="26">
                  <c:v>91</c:v>
                </c:pt>
                <c:pt idx="27">
                  <c:v>87</c:v>
                </c:pt>
                <c:pt idx="28">
                  <c:v>153</c:v>
                </c:pt>
              </c:numCache>
            </c:numRef>
          </c:val>
          <c:extLst>
            <c:ext xmlns:c16="http://schemas.microsoft.com/office/drawing/2014/chart" uri="{C3380CC4-5D6E-409C-BE32-E72D297353CC}">
              <c16:uniqueId val="{00000000-44A9-4993-BD8A-50D7BA9CE63D}"/>
            </c:ext>
          </c:extLst>
        </c:ser>
        <c:ser>
          <c:idx val="1"/>
          <c:order val="1"/>
          <c:tx>
            <c:strRef>
              <c:f>'DASHBOARD 1'!$I$6</c:f>
              <c:strCache>
                <c:ptCount val="1"/>
                <c:pt idx="0">
                  <c:v>FEB</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'DASHBOARD 1'!$G$7:$G$35</c:f>
              <c:strCache>
                <c:ptCount val="29"/>
                <c:pt idx="0">
                  <c:v>SANJANA</c:v>
                </c:pt>
                <c:pt idx="1">
                  <c:v>KOMAL</c:v>
                </c:pt>
                <c:pt idx="2">
                  <c:v>CHETNA</c:v>
                </c:pt>
                <c:pt idx="3">
                  <c:v>NATO</c:v>
                </c:pt>
                <c:pt idx="4">
                  <c:v>MOHAN</c:v>
                </c:pt>
                <c:pt idx="5">
                  <c:v>KOMAL</c:v>
                </c:pt>
                <c:pt idx="6">
                  <c:v>POOJA</c:v>
                </c:pt>
                <c:pt idx="7">
                  <c:v>SHANMUGHAM</c:v>
                </c:pt>
                <c:pt idx="8">
                  <c:v>SANJANA</c:v>
                </c:pt>
                <c:pt idx="9">
                  <c:v>KOMAL</c:v>
                </c:pt>
                <c:pt idx="10">
                  <c:v>CHETNA</c:v>
                </c:pt>
                <c:pt idx="11">
                  <c:v>RASHMI</c:v>
                </c:pt>
                <c:pt idx="12">
                  <c:v>NATO</c:v>
                </c:pt>
                <c:pt idx="13">
                  <c:v>SID</c:v>
                </c:pt>
                <c:pt idx="14">
                  <c:v>MOHAN</c:v>
                </c:pt>
                <c:pt idx="15">
                  <c:v>SHANMUGHAM</c:v>
                </c:pt>
                <c:pt idx="16">
                  <c:v>GAURAV</c:v>
                </c:pt>
                <c:pt idx="17">
                  <c:v>POOJA</c:v>
                </c:pt>
                <c:pt idx="18">
                  <c:v>CHARU</c:v>
                </c:pt>
                <c:pt idx="19">
                  <c:v>YASH</c:v>
                </c:pt>
                <c:pt idx="20">
                  <c:v>JASHWANT</c:v>
                </c:pt>
                <c:pt idx="21">
                  <c:v>KARAN</c:v>
                </c:pt>
                <c:pt idx="22">
                  <c:v>SANJANA</c:v>
                </c:pt>
                <c:pt idx="23">
                  <c:v>MOHAN</c:v>
                </c:pt>
                <c:pt idx="24">
                  <c:v>SHANUMGHAM</c:v>
                </c:pt>
                <c:pt idx="25">
                  <c:v>PERUMAL</c:v>
                </c:pt>
                <c:pt idx="26">
                  <c:v>KOMAL</c:v>
                </c:pt>
                <c:pt idx="27">
                  <c:v>CHARU</c:v>
                </c:pt>
                <c:pt idx="28">
                  <c:v>YASH</c:v>
                </c:pt>
              </c:strCache>
            </c:strRef>
          </c:cat>
          <c:val>
            <c:numRef>
              <c:f>'DASHBOARD 1'!$I$7:$I$35</c:f>
              <c:numCache>
                <c:formatCode>General</c:formatCode>
                <c:ptCount val="29"/>
                <c:pt idx="0">
                  <c:v>50</c:v>
                </c:pt>
                <c:pt idx="1">
                  <c:v>183</c:v>
                </c:pt>
                <c:pt idx="2">
                  <c:v>166</c:v>
                </c:pt>
                <c:pt idx="3">
                  <c:v>119</c:v>
                </c:pt>
                <c:pt idx="4">
                  <c:v>82</c:v>
                </c:pt>
                <c:pt idx="5">
                  <c:v>151</c:v>
                </c:pt>
                <c:pt idx="6">
                  <c:v>81</c:v>
                </c:pt>
                <c:pt idx="7">
                  <c:v>60</c:v>
                </c:pt>
                <c:pt idx="8">
                  <c:v>163</c:v>
                </c:pt>
                <c:pt idx="9">
                  <c:v>53</c:v>
                </c:pt>
                <c:pt idx="10">
                  <c:v>114</c:v>
                </c:pt>
                <c:pt idx="11">
                  <c:v>142</c:v>
                </c:pt>
                <c:pt idx="12">
                  <c:v>111</c:v>
                </c:pt>
                <c:pt idx="13">
                  <c:v>184</c:v>
                </c:pt>
                <c:pt idx="14">
                  <c:v>102</c:v>
                </c:pt>
                <c:pt idx="15">
                  <c:v>108</c:v>
                </c:pt>
                <c:pt idx="16">
                  <c:v>140</c:v>
                </c:pt>
                <c:pt idx="17">
                  <c:v>187</c:v>
                </c:pt>
                <c:pt idx="18">
                  <c:v>55</c:v>
                </c:pt>
                <c:pt idx="19">
                  <c:v>190</c:v>
                </c:pt>
                <c:pt idx="20">
                  <c:v>106</c:v>
                </c:pt>
                <c:pt idx="21">
                  <c:v>145</c:v>
                </c:pt>
                <c:pt idx="22">
                  <c:v>199</c:v>
                </c:pt>
                <c:pt idx="23">
                  <c:v>65</c:v>
                </c:pt>
                <c:pt idx="24">
                  <c:v>155</c:v>
                </c:pt>
                <c:pt idx="25">
                  <c:v>126</c:v>
                </c:pt>
                <c:pt idx="26">
                  <c:v>115</c:v>
                </c:pt>
                <c:pt idx="27">
                  <c:v>74</c:v>
                </c:pt>
                <c:pt idx="28">
                  <c:v>193</c:v>
                </c:pt>
              </c:numCache>
            </c:numRef>
          </c:val>
          <c:extLst>
            <c:ext xmlns:c16="http://schemas.microsoft.com/office/drawing/2014/chart" uri="{C3380CC4-5D6E-409C-BE32-E72D297353CC}">
              <c16:uniqueId val="{00000001-44A9-4993-BD8A-50D7BA9CE63D}"/>
            </c:ext>
          </c:extLst>
        </c:ser>
        <c:ser>
          <c:idx val="2"/>
          <c:order val="2"/>
          <c:tx>
            <c:strRef>
              <c:f>'DASHBOARD 1'!$J$6</c:f>
              <c:strCache>
                <c:ptCount val="1"/>
                <c:pt idx="0">
                  <c:v>MAR</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'DASHBOARD 1'!$G$7:$G$35</c:f>
              <c:strCache>
                <c:ptCount val="29"/>
                <c:pt idx="0">
                  <c:v>SANJANA</c:v>
                </c:pt>
                <c:pt idx="1">
                  <c:v>KOMAL</c:v>
                </c:pt>
                <c:pt idx="2">
                  <c:v>CHETNA</c:v>
                </c:pt>
                <c:pt idx="3">
                  <c:v>NATO</c:v>
                </c:pt>
                <c:pt idx="4">
                  <c:v>MOHAN</c:v>
                </c:pt>
                <c:pt idx="5">
                  <c:v>KOMAL</c:v>
                </c:pt>
                <c:pt idx="6">
                  <c:v>POOJA</c:v>
                </c:pt>
                <c:pt idx="7">
                  <c:v>SHANMUGHAM</c:v>
                </c:pt>
                <c:pt idx="8">
                  <c:v>SANJANA</c:v>
                </c:pt>
                <c:pt idx="9">
                  <c:v>KOMAL</c:v>
                </c:pt>
                <c:pt idx="10">
                  <c:v>CHETNA</c:v>
                </c:pt>
                <c:pt idx="11">
                  <c:v>RASHMI</c:v>
                </c:pt>
                <c:pt idx="12">
                  <c:v>NATO</c:v>
                </c:pt>
                <c:pt idx="13">
                  <c:v>SID</c:v>
                </c:pt>
                <c:pt idx="14">
                  <c:v>MOHAN</c:v>
                </c:pt>
                <c:pt idx="15">
                  <c:v>SHANMUGHAM</c:v>
                </c:pt>
                <c:pt idx="16">
                  <c:v>GAURAV</c:v>
                </c:pt>
                <c:pt idx="17">
                  <c:v>POOJA</c:v>
                </c:pt>
                <c:pt idx="18">
                  <c:v>CHARU</c:v>
                </c:pt>
                <c:pt idx="19">
                  <c:v>YASH</c:v>
                </c:pt>
                <c:pt idx="20">
                  <c:v>JASHWANT</c:v>
                </c:pt>
                <c:pt idx="21">
                  <c:v>KARAN</c:v>
                </c:pt>
                <c:pt idx="22">
                  <c:v>SANJANA</c:v>
                </c:pt>
                <c:pt idx="23">
                  <c:v>MOHAN</c:v>
                </c:pt>
                <c:pt idx="24">
                  <c:v>SHANUMGHAM</c:v>
                </c:pt>
                <c:pt idx="25">
                  <c:v>PERUMAL</c:v>
                </c:pt>
                <c:pt idx="26">
                  <c:v>KOMAL</c:v>
                </c:pt>
                <c:pt idx="27">
                  <c:v>CHARU</c:v>
                </c:pt>
                <c:pt idx="28">
                  <c:v>YASH</c:v>
                </c:pt>
              </c:strCache>
            </c:strRef>
          </c:cat>
          <c:val>
            <c:numRef>
              <c:f>'DASHBOARD 1'!$J$7:$J$35</c:f>
              <c:numCache>
                <c:formatCode>General</c:formatCode>
                <c:ptCount val="29"/>
                <c:pt idx="0">
                  <c:v>187</c:v>
                </c:pt>
                <c:pt idx="1">
                  <c:v>74</c:v>
                </c:pt>
                <c:pt idx="2">
                  <c:v>189</c:v>
                </c:pt>
                <c:pt idx="3">
                  <c:v>116</c:v>
                </c:pt>
                <c:pt idx="4">
                  <c:v>135</c:v>
                </c:pt>
                <c:pt idx="5">
                  <c:v>199</c:v>
                </c:pt>
                <c:pt idx="6">
                  <c:v>187</c:v>
                </c:pt>
                <c:pt idx="7">
                  <c:v>125</c:v>
                </c:pt>
                <c:pt idx="8">
                  <c:v>176</c:v>
                </c:pt>
                <c:pt idx="9">
                  <c:v>76</c:v>
                </c:pt>
                <c:pt idx="10">
                  <c:v>198</c:v>
                </c:pt>
                <c:pt idx="11">
                  <c:v>81</c:v>
                </c:pt>
                <c:pt idx="12">
                  <c:v>150</c:v>
                </c:pt>
                <c:pt idx="13">
                  <c:v>193</c:v>
                </c:pt>
                <c:pt idx="14">
                  <c:v>57</c:v>
                </c:pt>
                <c:pt idx="15">
                  <c:v>176</c:v>
                </c:pt>
                <c:pt idx="16">
                  <c:v>136</c:v>
                </c:pt>
                <c:pt idx="17">
                  <c:v>119</c:v>
                </c:pt>
                <c:pt idx="18">
                  <c:v>189</c:v>
                </c:pt>
                <c:pt idx="19">
                  <c:v>101</c:v>
                </c:pt>
                <c:pt idx="20">
                  <c:v>74</c:v>
                </c:pt>
                <c:pt idx="21">
                  <c:v>136</c:v>
                </c:pt>
                <c:pt idx="22">
                  <c:v>164</c:v>
                </c:pt>
                <c:pt idx="23">
                  <c:v>118</c:v>
                </c:pt>
                <c:pt idx="24">
                  <c:v>136</c:v>
                </c:pt>
                <c:pt idx="25">
                  <c:v>198</c:v>
                </c:pt>
                <c:pt idx="26">
                  <c:v>157</c:v>
                </c:pt>
                <c:pt idx="27">
                  <c:v>114</c:v>
                </c:pt>
                <c:pt idx="28">
                  <c:v>111</c:v>
                </c:pt>
              </c:numCache>
            </c:numRef>
          </c:val>
          <c:extLst>
            <c:ext xmlns:c16="http://schemas.microsoft.com/office/drawing/2014/chart" uri="{C3380CC4-5D6E-409C-BE32-E72D297353CC}">
              <c16:uniqueId val="{00000002-44A9-4993-BD8A-50D7BA9CE63D}"/>
            </c:ext>
          </c:extLst>
        </c:ser>
        <c:dLbls>
          <c:showLegendKey val="0"/>
          <c:showVal val="0"/>
          <c:showCatName val="0"/>
          <c:showSerName val="0"/>
          <c:showPercent val="0"/>
          <c:showBubbleSize val="0"/>
        </c:dLbls>
        <c:gapWidth val="65"/>
        <c:shape val="box"/>
        <c:axId val="2029005551"/>
        <c:axId val="2028999727"/>
        <c:axId val="87473455"/>
      </c:bar3DChart>
      <c:catAx>
        <c:axId val="20290055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US"/>
          </a:p>
        </c:txPr>
        <c:crossAx val="2028999727"/>
        <c:crosses val="autoZero"/>
        <c:auto val="1"/>
        <c:lblAlgn val="ctr"/>
        <c:lblOffset val="100"/>
        <c:noMultiLvlLbl val="0"/>
      </c:catAx>
      <c:valAx>
        <c:axId val="202899972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9005551"/>
        <c:crosses val="autoZero"/>
        <c:crossBetween val="between"/>
      </c:valAx>
      <c:serAx>
        <c:axId val="8747345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8999727"/>
        <c:crosses val="autoZero"/>
      </c:serAx>
      <c:spPr>
        <a:solidFill>
          <a:schemeClr val="tx1"/>
        </a:solid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0066"/>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tx>
            <c:strRef>
              <c:f>'DASHBOARD 1'!$H$6</c:f>
              <c:strCache>
                <c:ptCount val="1"/>
                <c:pt idx="0">
                  <c:v>JAN</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 1'!$G$7:$G$35</c:f>
              <c:strCache>
                <c:ptCount val="29"/>
                <c:pt idx="0">
                  <c:v>SANJANA</c:v>
                </c:pt>
                <c:pt idx="1">
                  <c:v>KOMAL</c:v>
                </c:pt>
                <c:pt idx="2">
                  <c:v>CHETNA</c:v>
                </c:pt>
                <c:pt idx="3">
                  <c:v>NATO</c:v>
                </c:pt>
                <c:pt idx="4">
                  <c:v>MOHAN</c:v>
                </c:pt>
                <c:pt idx="5">
                  <c:v>KOMAL</c:v>
                </c:pt>
                <c:pt idx="6">
                  <c:v>POOJA</c:v>
                </c:pt>
                <c:pt idx="7">
                  <c:v>SHANMUGHAM</c:v>
                </c:pt>
                <c:pt idx="8">
                  <c:v>SANJANA</c:v>
                </c:pt>
                <c:pt idx="9">
                  <c:v>KOMAL</c:v>
                </c:pt>
                <c:pt idx="10">
                  <c:v>CHETNA</c:v>
                </c:pt>
                <c:pt idx="11">
                  <c:v>RASHMI</c:v>
                </c:pt>
                <c:pt idx="12">
                  <c:v>NATO</c:v>
                </c:pt>
                <c:pt idx="13">
                  <c:v>SID</c:v>
                </c:pt>
                <c:pt idx="14">
                  <c:v>MOHAN</c:v>
                </c:pt>
                <c:pt idx="15">
                  <c:v>SHANMUGHAM</c:v>
                </c:pt>
                <c:pt idx="16">
                  <c:v>GAURAV</c:v>
                </c:pt>
                <c:pt idx="17">
                  <c:v>POOJA</c:v>
                </c:pt>
                <c:pt idx="18">
                  <c:v>CHARU</c:v>
                </c:pt>
                <c:pt idx="19">
                  <c:v>YASH</c:v>
                </c:pt>
                <c:pt idx="20">
                  <c:v>JASHWANT</c:v>
                </c:pt>
                <c:pt idx="21">
                  <c:v>KARAN</c:v>
                </c:pt>
                <c:pt idx="22">
                  <c:v>SANJANA</c:v>
                </c:pt>
                <c:pt idx="23">
                  <c:v>MOHAN</c:v>
                </c:pt>
                <c:pt idx="24">
                  <c:v>SHANUMGHAM</c:v>
                </c:pt>
                <c:pt idx="25">
                  <c:v>PERUMAL</c:v>
                </c:pt>
                <c:pt idx="26">
                  <c:v>KOMAL</c:v>
                </c:pt>
                <c:pt idx="27">
                  <c:v>CHARU</c:v>
                </c:pt>
                <c:pt idx="28">
                  <c:v>YASH</c:v>
                </c:pt>
              </c:strCache>
            </c:strRef>
          </c:cat>
          <c:val>
            <c:numRef>
              <c:f>'DASHBOARD 1'!$H$7:$H$35</c:f>
              <c:numCache>
                <c:formatCode>General</c:formatCode>
                <c:ptCount val="29"/>
                <c:pt idx="0">
                  <c:v>56</c:v>
                </c:pt>
                <c:pt idx="1">
                  <c:v>158</c:v>
                </c:pt>
                <c:pt idx="2">
                  <c:v>106</c:v>
                </c:pt>
                <c:pt idx="3">
                  <c:v>136</c:v>
                </c:pt>
                <c:pt idx="4">
                  <c:v>180</c:v>
                </c:pt>
                <c:pt idx="5">
                  <c:v>59</c:v>
                </c:pt>
                <c:pt idx="6">
                  <c:v>186</c:v>
                </c:pt>
                <c:pt idx="7">
                  <c:v>200</c:v>
                </c:pt>
                <c:pt idx="8">
                  <c:v>160</c:v>
                </c:pt>
                <c:pt idx="9">
                  <c:v>100</c:v>
                </c:pt>
                <c:pt idx="10">
                  <c:v>55</c:v>
                </c:pt>
                <c:pt idx="11">
                  <c:v>129</c:v>
                </c:pt>
                <c:pt idx="12">
                  <c:v>74</c:v>
                </c:pt>
                <c:pt idx="13">
                  <c:v>133</c:v>
                </c:pt>
                <c:pt idx="14">
                  <c:v>109</c:v>
                </c:pt>
                <c:pt idx="15">
                  <c:v>92</c:v>
                </c:pt>
                <c:pt idx="16">
                  <c:v>64</c:v>
                </c:pt>
                <c:pt idx="17">
                  <c:v>90</c:v>
                </c:pt>
                <c:pt idx="18">
                  <c:v>141</c:v>
                </c:pt>
                <c:pt idx="19">
                  <c:v>141</c:v>
                </c:pt>
                <c:pt idx="20">
                  <c:v>109</c:v>
                </c:pt>
                <c:pt idx="21">
                  <c:v>169</c:v>
                </c:pt>
                <c:pt idx="22">
                  <c:v>77</c:v>
                </c:pt>
                <c:pt idx="23">
                  <c:v>143</c:v>
                </c:pt>
                <c:pt idx="24">
                  <c:v>194</c:v>
                </c:pt>
                <c:pt idx="25">
                  <c:v>88</c:v>
                </c:pt>
                <c:pt idx="26">
                  <c:v>91</c:v>
                </c:pt>
                <c:pt idx="27">
                  <c:v>87</c:v>
                </c:pt>
                <c:pt idx="28">
                  <c:v>153</c:v>
                </c:pt>
              </c:numCache>
            </c:numRef>
          </c:val>
          <c:smooth val="0"/>
          <c:extLst>
            <c:ext xmlns:c16="http://schemas.microsoft.com/office/drawing/2014/chart" uri="{C3380CC4-5D6E-409C-BE32-E72D297353CC}">
              <c16:uniqueId val="{00000000-1A6E-4B85-87B3-C3B87027CDB0}"/>
            </c:ext>
          </c:extLst>
        </c:ser>
        <c:ser>
          <c:idx val="1"/>
          <c:order val="1"/>
          <c:tx>
            <c:strRef>
              <c:f>'DASHBOARD 1'!$I$6</c:f>
              <c:strCache>
                <c:ptCount val="1"/>
                <c:pt idx="0">
                  <c:v>FEB</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 1'!$G$7:$G$35</c:f>
              <c:strCache>
                <c:ptCount val="29"/>
                <c:pt idx="0">
                  <c:v>SANJANA</c:v>
                </c:pt>
                <c:pt idx="1">
                  <c:v>KOMAL</c:v>
                </c:pt>
                <c:pt idx="2">
                  <c:v>CHETNA</c:v>
                </c:pt>
                <c:pt idx="3">
                  <c:v>NATO</c:v>
                </c:pt>
                <c:pt idx="4">
                  <c:v>MOHAN</c:v>
                </c:pt>
                <c:pt idx="5">
                  <c:v>KOMAL</c:v>
                </c:pt>
                <c:pt idx="6">
                  <c:v>POOJA</c:v>
                </c:pt>
                <c:pt idx="7">
                  <c:v>SHANMUGHAM</c:v>
                </c:pt>
                <c:pt idx="8">
                  <c:v>SANJANA</c:v>
                </c:pt>
                <c:pt idx="9">
                  <c:v>KOMAL</c:v>
                </c:pt>
                <c:pt idx="10">
                  <c:v>CHETNA</c:v>
                </c:pt>
                <c:pt idx="11">
                  <c:v>RASHMI</c:v>
                </c:pt>
                <c:pt idx="12">
                  <c:v>NATO</c:v>
                </c:pt>
                <c:pt idx="13">
                  <c:v>SID</c:v>
                </c:pt>
                <c:pt idx="14">
                  <c:v>MOHAN</c:v>
                </c:pt>
                <c:pt idx="15">
                  <c:v>SHANMUGHAM</c:v>
                </c:pt>
                <c:pt idx="16">
                  <c:v>GAURAV</c:v>
                </c:pt>
                <c:pt idx="17">
                  <c:v>POOJA</c:v>
                </c:pt>
                <c:pt idx="18">
                  <c:v>CHARU</c:v>
                </c:pt>
                <c:pt idx="19">
                  <c:v>YASH</c:v>
                </c:pt>
                <c:pt idx="20">
                  <c:v>JASHWANT</c:v>
                </c:pt>
                <c:pt idx="21">
                  <c:v>KARAN</c:v>
                </c:pt>
                <c:pt idx="22">
                  <c:v>SANJANA</c:v>
                </c:pt>
                <c:pt idx="23">
                  <c:v>MOHAN</c:v>
                </c:pt>
                <c:pt idx="24">
                  <c:v>SHANUMGHAM</c:v>
                </c:pt>
                <c:pt idx="25">
                  <c:v>PERUMAL</c:v>
                </c:pt>
                <c:pt idx="26">
                  <c:v>KOMAL</c:v>
                </c:pt>
                <c:pt idx="27">
                  <c:v>CHARU</c:v>
                </c:pt>
                <c:pt idx="28">
                  <c:v>YASH</c:v>
                </c:pt>
              </c:strCache>
            </c:strRef>
          </c:cat>
          <c:val>
            <c:numRef>
              <c:f>'DASHBOARD 1'!$I$7:$I$35</c:f>
              <c:numCache>
                <c:formatCode>General</c:formatCode>
                <c:ptCount val="29"/>
                <c:pt idx="0">
                  <c:v>50</c:v>
                </c:pt>
                <c:pt idx="1">
                  <c:v>183</c:v>
                </c:pt>
                <c:pt idx="2">
                  <c:v>166</c:v>
                </c:pt>
                <c:pt idx="3">
                  <c:v>119</c:v>
                </c:pt>
                <c:pt idx="4">
                  <c:v>82</c:v>
                </c:pt>
                <c:pt idx="5">
                  <c:v>151</c:v>
                </c:pt>
                <c:pt idx="6">
                  <c:v>81</c:v>
                </c:pt>
                <c:pt idx="7">
                  <c:v>60</c:v>
                </c:pt>
                <c:pt idx="8">
                  <c:v>163</c:v>
                </c:pt>
                <c:pt idx="9">
                  <c:v>53</c:v>
                </c:pt>
                <c:pt idx="10">
                  <c:v>114</c:v>
                </c:pt>
                <c:pt idx="11">
                  <c:v>142</c:v>
                </c:pt>
                <c:pt idx="12">
                  <c:v>111</c:v>
                </c:pt>
                <c:pt idx="13">
                  <c:v>184</c:v>
                </c:pt>
                <c:pt idx="14">
                  <c:v>102</c:v>
                </c:pt>
                <c:pt idx="15">
                  <c:v>108</c:v>
                </c:pt>
                <c:pt idx="16">
                  <c:v>140</c:v>
                </c:pt>
                <c:pt idx="17">
                  <c:v>187</c:v>
                </c:pt>
                <c:pt idx="18">
                  <c:v>55</c:v>
                </c:pt>
                <c:pt idx="19">
                  <c:v>190</c:v>
                </c:pt>
                <c:pt idx="20">
                  <c:v>106</c:v>
                </c:pt>
                <c:pt idx="21">
                  <c:v>145</c:v>
                </c:pt>
                <c:pt idx="22">
                  <c:v>199</c:v>
                </c:pt>
                <c:pt idx="23">
                  <c:v>65</c:v>
                </c:pt>
                <c:pt idx="24">
                  <c:v>155</c:v>
                </c:pt>
                <c:pt idx="25">
                  <c:v>126</c:v>
                </c:pt>
                <c:pt idx="26">
                  <c:v>115</c:v>
                </c:pt>
                <c:pt idx="27">
                  <c:v>74</c:v>
                </c:pt>
                <c:pt idx="28">
                  <c:v>193</c:v>
                </c:pt>
              </c:numCache>
            </c:numRef>
          </c:val>
          <c:smooth val="0"/>
          <c:extLst>
            <c:ext xmlns:c16="http://schemas.microsoft.com/office/drawing/2014/chart" uri="{C3380CC4-5D6E-409C-BE32-E72D297353CC}">
              <c16:uniqueId val="{00000001-1A6E-4B85-87B3-C3B87027CDB0}"/>
            </c:ext>
          </c:extLst>
        </c:ser>
        <c:ser>
          <c:idx val="2"/>
          <c:order val="2"/>
          <c:tx>
            <c:strRef>
              <c:f>'DASHBOARD 1'!$J$6</c:f>
              <c:strCache>
                <c:ptCount val="1"/>
                <c:pt idx="0">
                  <c:v>MAR</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 1'!$G$7:$G$35</c:f>
              <c:strCache>
                <c:ptCount val="29"/>
                <c:pt idx="0">
                  <c:v>SANJANA</c:v>
                </c:pt>
                <c:pt idx="1">
                  <c:v>KOMAL</c:v>
                </c:pt>
                <c:pt idx="2">
                  <c:v>CHETNA</c:v>
                </c:pt>
                <c:pt idx="3">
                  <c:v>NATO</c:v>
                </c:pt>
                <c:pt idx="4">
                  <c:v>MOHAN</c:v>
                </c:pt>
                <c:pt idx="5">
                  <c:v>KOMAL</c:v>
                </c:pt>
                <c:pt idx="6">
                  <c:v>POOJA</c:v>
                </c:pt>
                <c:pt idx="7">
                  <c:v>SHANMUGHAM</c:v>
                </c:pt>
                <c:pt idx="8">
                  <c:v>SANJANA</c:v>
                </c:pt>
                <c:pt idx="9">
                  <c:v>KOMAL</c:v>
                </c:pt>
                <c:pt idx="10">
                  <c:v>CHETNA</c:v>
                </c:pt>
                <c:pt idx="11">
                  <c:v>RASHMI</c:v>
                </c:pt>
                <c:pt idx="12">
                  <c:v>NATO</c:v>
                </c:pt>
                <c:pt idx="13">
                  <c:v>SID</c:v>
                </c:pt>
                <c:pt idx="14">
                  <c:v>MOHAN</c:v>
                </c:pt>
                <c:pt idx="15">
                  <c:v>SHANMUGHAM</c:v>
                </c:pt>
                <c:pt idx="16">
                  <c:v>GAURAV</c:v>
                </c:pt>
                <c:pt idx="17">
                  <c:v>POOJA</c:v>
                </c:pt>
                <c:pt idx="18">
                  <c:v>CHARU</c:v>
                </c:pt>
                <c:pt idx="19">
                  <c:v>YASH</c:v>
                </c:pt>
                <c:pt idx="20">
                  <c:v>JASHWANT</c:v>
                </c:pt>
                <c:pt idx="21">
                  <c:v>KARAN</c:v>
                </c:pt>
                <c:pt idx="22">
                  <c:v>SANJANA</c:v>
                </c:pt>
                <c:pt idx="23">
                  <c:v>MOHAN</c:v>
                </c:pt>
                <c:pt idx="24">
                  <c:v>SHANUMGHAM</c:v>
                </c:pt>
                <c:pt idx="25">
                  <c:v>PERUMAL</c:v>
                </c:pt>
                <c:pt idx="26">
                  <c:v>KOMAL</c:v>
                </c:pt>
                <c:pt idx="27">
                  <c:v>CHARU</c:v>
                </c:pt>
                <c:pt idx="28">
                  <c:v>YASH</c:v>
                </c:pt>
              </c:strCache>
            </c:strRef>
          </c:cat>
          <c:val>
            <c:numRef>
              <c:f>'DASHBOARD 1'!$J$7:$J$35</c:f>
              <c:numCache>
                <c:formatCode>General</c:formatCode>
                <c:ptCount val="29"/>
                <c:pt idx="0">
                  <c:v>187</c:v>
                </c:pt>
                <c:pt idx="1">
                  <c:v>74</c:v>
                </c:pt>
                <c:pt idx="2">
                  <c:v>189</c:v>
                </c:pt>
                <c:pt idx="3">
                  <c:v>116</c:v>
                </c:pt>
                <c:pt idx="4">
                  <c:v>135</c:v>
                </c:pt>
                <c:pt idx="5">
                  <c:v>199</c:v>
                </c:pt>
                <c:pt idx="6">
                  <c:v>187</c:v>
                </c:pt>
                <c:pt idx="7">
                  <c:v>125</c:v>
                </c:pt>
                <c:pt idx="8">
                  <c:v>176</c:v>
                </c:pt>
                <c:pt idx="9">
                  <c:v>76</c:v>
                </c:pt>
                <c:pt idx="10">
                  <c:v>198</c:v>
                </c:pt>
                <c:pt idx="11">
                  <c:v>81</c:v>
                </c:pt>
                <c:pt idx="12">
                  <c:v>150</c:v>
                </c:pt>
                <c:pt idx="13">
                  <c:v>193</c:v>
                </c:pt>
                <c:pt idx="14">
                  <c:v>57</c:v>
                </c:pt>
                <c:pt idx="15">
                  <c:v>176</c:v>
                </c:pt>
                <c:pt idx="16">
                  <c:v>136</c:v>
                </c:pt>
                <c:pt idx="17">
                  <c:v>119</c:v>
                </c:pt>
                <c:pt idx="18">
                  <c:v>189</c:v>
                </c:pt>
                <c:pt idx="19">
                  <c:v>101</c:v>
                </c:pt>
                <c:pt idx="20">
                  <c:v>74</c:v>
                </c:pt>
                <c:pt idx="21">
                  <c:v>136</c:v>
                </c:pt>
                <c:pt idx="22">
                  <c:v>164</c:v>
                </c:pt>
                <c:pt idx="23">
                  <c:v>118</c:v>
                </c:pt>
                <c:pt idx="24">
                  <c:v>136</c:v>
                </c:pt>
                <c:pt idx="25">
                  <c:v>198</c:v>
                </c:pt>
                <c:pt idx="26">
                  <c:v>157</c:v>
                </c:pt>
                <c:pt idx="27">
                  <c:v>114</c:v>
                </c:pt>
                <c:pt idx="28">
                  <c:v>111</c:v>
                </c:pt>
              </c:numCache>
            </c:numRef>
          </c:val>
          <c:smooth val="0"/>
          <c:extLst>
            <c:ext xmlns:c16="http://schemas.microsoft.com/office/drawing/2014/chart" uri="{C3380CC4-5D6E-409C-BE32-E72D297353CC}">
              <c16:uniqueId val="{00000002-1A6E-4B85-87B3-C3B87027CDB0}"/>
            </c:ext>
          </c:extLst>
        </c:ser>
        <c:dLbls>
          <c:dLblPos val="ctr"/>
          <c:showLegendKey val="0"/>
          <c:showVal val="1"/>
          <c:showCatName val="0"/>
          <c:showSerName val="0"/>
          <c:showPercent val="0"/>
          <c:showBubbleSize val="0"/>
        </c:dLbls>
        <c:smooth val="0"/>
        <c:axId val="234691759"/>
        <c:axId val="234694671"/>
      </c:lineChart>
      <c:catAx>
        <c:axId val="2346917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34694671"/>
        <c:crosses val="autoZero"/>
        <c:auto val="1"/>
        <c:lblAlgn val="ctr"/>
        <c:lblOffset val="100"/>
        <c:noMultiLvlLbl val="0"/>
      </c:catAx>
      <c:valAx>
        <c:axId val="2346946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34691759"/>
        <c:crosses val="autoZero"/>
        <c:crossBetween val="between"/>
      </c:valAx>
      <c:spPr>
        <a:solidFill>
          <a:schemeClr val="tx1"/>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rgbClr val="FF0066"/>
    </a:soli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'DASHBOARD 4'!$D$8</c:f>
              <c:strCache>
                <c:ptCount val="1"/>
                <c:pt idx="0">
                  <c:v>SEP</c:v>
                </c:pt>
              </c:strCache>
            </c:strRef>
          </c:tx>
          <c:spPr>
            <a:gradFill>
              <a:gsLst>
                <a:gs pos="100000">
                  <a:schemeClr val="accent6">
                    <a:alpha val="0"/>
                  </a:schemeClr>
                </a:gs>
                <a:gs pos="50000">
                  <a:schemeClr val="accent6"/>
                </a:gs>
              </a:gsLst>
              <a:lin ang="5400000" scaled="0"/>
            </a:gradFill>
            <a:ln>
              <a:noFill/>
            </a:ln>
            <a:effectLst/>
            <a:sp3d/>
          </c:spPr>
          <c:invertIfNegative val="0"/>
          <c:cat>
            <c:strRef>
              <c:f>'DASHBOARD 4'!$C$9:$C$37</c:f>
              <c:strCache>
                <c:ptCount val="29"/>
                <c:pt idx="0">
                  <c:v>SANJANA</c:v>
                </c:pt>
                <c:pt idx="1">
                  <c:v>KOMAL</c:v>
                </c:pt>
                <c:pt idx="2">
                  <c:v>CHETNA</c:v>
                </c:pt>
                <c:pt idx="3">
                  <c:v>NATO</c:v>
                </c:pt>
                <c:pt idx="4">
                  <c:v>MOHAN</c:v>
                </c:pt>
                <c:pt idx="5">
                  <c:v>KOMAL</c:v>
                </c:pt>
                <c:pt idx="6">
                  <c:v>POOJA</c:v>
                </c:pt>
                <c:pt idx="7">
                  <c:v>SHANMUGHAM</c:v>
                </c:pt>
                <c:pt idx="8">
                  <c:v>SANJANA</c:v>
                </c:pt>
                <c:pt idx="9">
                  <c:v>KOMAL</c:v>
                </c:pt>
                <c:pt idx="10">
                  <c:v>CHETNA</c:v>
                </c:pt>
                <c:pt idx="11">
                  <c:v>RASHMI</c:v>
                </c:pt>
                <c:pt idx="12">
                  <c:v>NATO</c:v>
                </c:pt>
                <c:pt idx="13">
                  <c:v>SID</c:v>
                </c:pt>
                <c:pt idx="14">
                  <c:v>MOHAN</c:v>
                </c:pt>
                <c:pt idx="15">
                  <c:v>SHANMUGHAM</c:v>
                </c:pt>
                <c:pt idx="16">
                  <c:v>GAURAV</c:v>
                </c:pt>
                <c:pt idx="17">
                  <c:v>POOJA</c:v>
                </c:pt>
                <c:pt idx="18">
                  <c:v>CHARU</c:v>
                </c:pt>
                <c:pt idx="19">
                  <c:v>YASH</c:v>
                </c:pt>
                <c:pt idx="20">
                  <c:v>JASHWANT</c:v>
                </c:pt>
                <c:pt idx="21">
                  <c:v>KARAN</c:v>
                </c:pt>
                <c:pt idx="22">
                  <c:v>SANJANA</c:v>
                </c:pt>
                <c:pt idx="23">
                  <c:v>MOHAN</c:v>
                </c:pt>
                <c:pt idx="24">
                  <c:v>SHANUMGHAM</c:v>
                </c:pt>
                <c:pt idx="25">
                  <c:v>PERUMAL</c:v>
                </c:pt>
                <c:pt idx="26">
                  <c:v>KOMAL</c:v>
                </c:pt>
                <c:pt idx="27">
                  <c:v>CHARU</c:v>
                </c:pt>
                <c:pt idx="28">
                  <c:v>YASH</c:v>
                </c:pt>
              </c:strCache>
            </c:strRef>
          </c:cat>
          <c:val>
            <c:numRef>
              <c:f>'DASHBOARD 4'!$D$9:$D$37</c:f>
              <c:numCache>
                <c:formatCode>General</c:formatCode>
                <c:ptCount val="29"/>
                <c:pt idx="0">
                  <c:v>84</c:v>
                </c:pt>
                <c:pt idx="1">
                  <c:v>68</c:v>
                </c:pt>
                <c:pt idx="2">
                  <c:v>62</c:v>
                </c:pt>
                <c:pt idx="3">
                  <c:v>85</c:v>
                </c:pt>
                <c:pt idx="4">
                  <c:v>62</c:v>
                </c:pt>
                <c:pt idx="5">
                  <c:v>68</c:v>
                </c:pt>
                <c:pt idx="6">
                  <c:v>97</c:v>
                </c:pt>
                <c:pt idx="7">
                  <c:v>99</c:v>
                </c:pt>
                <c:pt idx="8">
                  <c:v>84</c:v>
                </c:pt>
                <c:pt idx="9">
                  <c:v>68</c:v>
                </c:pt>
                <c:pt idx="10">
                  <c:v>62</c:v>
                </c:pt>
                <c:pt idx="11">
                  <c:v>61</c:v>
                </c:pt>
                <c:pt idx="12">
                  <c:v>85</c:v>
                </c:pt>
                <c:pt idx="13">
                  <c:v>76</c:v>
                </c:pt>
                <c:pt idx="14">
                  <c:v>62</c:v>
                </c:pt>
                <c:pt idx="15">
                  <c:v>99</c:v>
                </c:pt>
                <c:pt idx="16">
                  <c:v>73</c:v>
                </c:pt>
                <c:pt idx="17">
                  <c:v>97</c:v>
                </c:pt>
                <c:pt idx="18">
                  <c:v>82</c:v>
                </c:pt>
                <c:pt idx="19">
                  <c:v>65</c:v>
                </c:pt>
                <c:pt idx="20">
                  <c:v>93</c:v>
                </c:pt>
                <c:pt idx="21">
                  <c:v>100</c:v>
                </c:pt>
                <c:pt idx="22">
                  <c:v>84</c:v>
                </c:pt>
                <c:pt idx="23">
                  <c:v>62</c:v>
                </c:pt>
                <c:pt idx="24">
                  <c:v>90</c:v>
                </c:pt>
                <c:pt idx="25">
                  <c:v>91</c:v>
                </c:pt>
                <c:pt idx="26">
                  <c:v>68</c:v>
                </c:pt>
                <c:pt idx="27">
                  <c:v>82</c:v>
                </c:pt>
                <c:pt idx="28">
                  <c:v>65</c:v>
                </c:pt>
              </c:numCache>
            </c:numRef>
          </c:val>
          <c:extLst>
            <c:ext xmlns:c16="http://schemas.microsoft.com/office/drawing/2014/chart" uri="{C3380CC4-5D6E-409C-BE32-E72D297353CC}">
              <c16:uniqueId val="{00000000-C4D6-4156-846B-C37A957B1066}"/>
            </c:ext>
          </c:extLst>
        </c:ser>
        <c:dLbls>
          <c:showLegendKey val="0"/>
          <c:showVal val="0"/>
          <c:showCatName val="0"/>
          <c:showSerName val="0"/>
          <c:showPercent val="0"/>
          <c:showBubbleSize val="0"/>
        </c:dLbls>
        <c:gapWidth val="150"/>
        <c:gapDepth val="0"/>
        <c:shape val="box"/>
        <c:axId val="1953525120"/>
        <c:axId val="1953525536"/>
        <c:axId val="1786133408"/>
      </c:bar3DChart>
      <c:catAx>
        <c:axId val="19535251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525536"/>
        <c:crosses val="autoZero"/>
        <c:auto val="1"/>
        <c:lblAlgn val="ctr"/>
        <c:lblOffset val="100"/>
        <c:noMultiLvlLbl val="0"/>
      </c:catAx>
      <c:valAx>
        <c:axId val="195352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525120"/>
        <c:crosses val="autoZero"/>
        <c:crossBetween val="between"/>
      </c:valAx>
      <c:serAx>
        <c:axId val="1786133408"/>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525536"/>
        <c:crosses val="autoZero"/>
      </c:serAx>
      <c:spPr>
        <a:solidFill>
          <a:schemeClr val="tx1"/>
        </a:soli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[Excel_Learning_Journey.xlsx]PIVOT CHART!PivotTable4</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tx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CHART'!$B$6</c:f>
              <c:strCache>
                <c:ptCount val="1"/>
                <c:pt idx="0">
                  <c:v>Sum of TOTAL SALES</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CHART'!$A$7:$A$28</c:f>
              <c:multiLvlStrCache>
                <c:ptCount val="12"/>
                <c:lvl>
                  <c:pt idx="0">
                    <c:v>2024</c:v>
                  </c:pt>
                  <c:pt idx="1">
                    <c:v>2024</c:v>
                  </c:pt>
                  <c:pt idx="2">
                    <c:v>2025</c:v>
                  </c:pt>
                  <c:pt idx="3">
                    <c:v>2026</c:v>
                  </c:pt>
                  <c:pt idx="4">
                    <c:v>2024</c:v>
                  </c:pt>
                  <c:pt idx="5">
                    <c:v>2025</c:v>
                  </c:pt>
                  <c:pt idx="6">
                    <c:v>2026</c:v>
                  </c:pt>
                  <c:pt idx="7">
                    <c:v>2024</c:v>
                  </c:pt>
                  <c:pt idx="8">
                    <c:v>2024</c:v>
                  </c:pt>
                  <c:pt idx="9">
                    <c:v>2025</c:v>
                  </c:pt>
                  <c:pt idx="10">
                    <c:v>2026</c:v>
                  </c:pt>
                  <c:pt idx="11">
                    <c:v>2024</c:v>
                  </c:pt>
                </c:lvl>
                <c:lvl>
                  <c:pt idx="0">
                    <c:v>BLINDER</c:v>
                  </c:pt>
                  <c:pt idx="1">
                    <c:v>PEN</c:v>
                  </c:pt>
                  <c:pt idx="4">
                    <c:v>BLINDER</c:v>
                  </c:pt>
                  <c:pt idx="7">
                    <c:v>PEN</c:v>
                  </c:pt>
                  <c:pt idx="8">
                    <c:v>MARKER</c:v>
                  </c:pt>
                  <c:pt idx="11">
                    <c:v>PEN</c:v>
                  </c:pt>
                </c:lvl>
                <c:lvl>
                  <c:pt idx="0">
                    <c:v>CENTRAL</c:v>
                  </c:pt>
                  <c:pt idx="4">
                    <c:v>EAST</c:v>
                  </c:pt>
                  <c:pt idx="8">
                    <c:v>WEST</c:v>
                  </c:pt>
                </c:lvl>
              </c:multiLvlStrCache>
            </c:multiLvlStrRef>
          </c:cat>
          <c:val>
            <c:numRef>
              <c:f>'PIVOT CHART'!$B$7:$B$28</c:f>
              <c:numCache>
                <c:formatCode>General</c:formatCode>
                <c:ptCount val="12"/>
                <c:pt idx="0">
                  <c:v>2621</c:v>
                </c:pt>
                <c:pt idx="1">
                  <c:v>11080</c:v>
                </c:pt>
                <c:pt idx="2">
                  <c:v>14198</c:v>
                </c:pt>
                <c:pt idx="3">
                  <c:v>6871</c:v>
                </c:pt>
                <c:pt idx="4">
                  <c:v>13936</c:v>
                </c:pt>
                <c:pt idx="5">
                  <c:v>27571</c:v>
                </c:pt>
                <c:pt idx="6">
                  <c:v>8610</c:v>
                </c:pt>
                <c:pt idx="7">
                  <c:v>4008</c:v>
                </c:pt>
                <c:pt idx="8">
                  <c:v>9528</c:v>
                </c:pt>
                <c:pt idx="9">
                  <c:v>25958</c:v>
                </c:pt>
                <c:pt idx="10">
                  <c:v>15590</c:v>
                </c:pt>
                <c:pt idx="11">
                  <c:v>3564</c:v>
                </c:pt>
              </c:numCache>
            </c:numRef>
          </c:val>
          <c:extLst>
            <c:ext xmlns:c16="http://schemas.microsoft.com/office/drawing/2014/chart" uri="{C3380CC4-5D6E-409C-BE32-E72D297353CC}">
              <c16:uniqueId val="{00000001-DDD7-4942-9298-8385547602F2}"/>
            </c:ext>
          </c:extLst>
        </c:ser>
        <c:ser>
          <c:idx val="1"/>
          <c:order val="1"/>
          <c:tx>
            <c:strRef>
              <c:f>'PIVOT CHART'!$C$6</c:f>
              <c:strCache>
                <c:ptCount val="1"/>
                <c:pt idx="0">
                  <c:v>Sum of TOTAL PROFIT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CHART'!$A$7:$A$28</c:f>
              <c:multiLvlStrCache>
                <c:ptCount val="12"/>
                <c:lvl>
                  <c:pt idx="0">
                    <c:v>2024</c:v>
                  </c:pt>
                  <c:pt idx="1">
                    <c:v>2024</c:v>
                  </c:pt>
                  <c:pt idx="2">
                    <c:v>2025</c:v>
                  </c:pt>
                  <c:pt idx="3">
                    <c:v>2026</c:v>
                  </c:pt>
                  <c:pt idx="4">
                    <c:v>2024</c:v>
                  </c:pt>
                  <c:pt idx="5">
                    <c:v>2025</c:v>
                  </c:pt>
                  <c:pt idx="6">
                    <c:v>2026</c:v>
                  </c:pt>
                  <c:pt idx="7">
                    <c:v>2024</c:v>
                  </c:pt>
                  <c:pt idx="8">
                    <c:v>2024</c:v>
                  </c:pt>
                  <c:pt idx="9">
                    <c:v>2025</c:v>
                  </c:pt>
                  <c:pt idx="10">
                    <c:v>2026</c:v>
                  </c:pt>
                  <c:pt idx="11">
                    <c:v>2024</c:v>
                  </c:pt>
                </c:lvl>
                <c:lvl>
                  <c:pt idx="0">
                    <c:v>BLINDER</c:v>
                  </c:pt>
                  <c:pt idx="1">
                    <c:v>PEN</c:v>
                  </c:pt>
                  <c:pt idx="4">
                    <c:v>BLINDER</c:v>
                  </c:pt>
                  <c:pt idx="7">
                    <c:v>PEN</c:v>
                  </c:pt>
                  <c:pt idx="8">
                    <c:v>MARKER</c:v>
                  </c:pt>
                  <c:pt idx="11">
                    <c:v>PEN</c:v>
                  </c:pt>
                </c:lvl>
                <c:lvl>
                  <c:pt idx="0">
                    <c:v>CENTRAL</c:v>
                  </c:pt>
                  <c:pt idx="4">
                    <c:v>EAST</c:v>
                  </c:pt>
                  <c:pt idx="8">
                    <c:v>WEST</c:v>
                  </c:pt>
                </c:lvl>
              </c:multiLvlStrCache>
            </c:multiLvlStrRef>
          </c:cat>
          <c:val>
            <c:numRef>
              <c:f>'PIVOT CHART'!$C$7:$C$28</c:f>
              <c:numCache>
                <c:formatCode>General</c:formatCode>
                <c:ptCount val="12"/>
                <c:pt idx="0">
                  <c:v>4899</c:v>
                </c:pt>
                <c:pt idx="1">
                  <c:v>17096</c:v>
                </c:pt>
                <c:pt idx="2">
                  <c:v>27092</c:v>
                </c:pt>
                <c:pt idx="3">
                  <c:v>12683</c:v>
                </c:pt>
                <c:pt idx="4">
                  <c:v>20094</c:v>
                </c:pt>
                <c:pt idx="5">
                  <c:v>42117</c:v>
                </c:pt>
                <c:pt idx="6">
                  <c:v>13507</c:v>
                </c:pt>
                <c:pt idx="7">
                  <c:v>8968</c:v>
                </c:pt>
                <c:pt idx="8">
                  <c:v>20705</c:v>
                </c:pt>
                <c:pt idx="9">
                  <c:v>42527</c:v>
                </c:pt>
                <c:pt idx="10">
                  <c:v>24731</c:v>
                </c:pt>
                <c:pt idx="11">
                  <c:v>6380</c:v>
                </c:pt>
              </c:numCache>
            </c:numRef>
          </c:val>
          <c:extLst>
            <c:ext xmlns:c16="http://schemas.microsoft.com/office/drawing/2014/chart" uri="{C3380CC4-5D6E-409C-BE32-E72D297353CC}">
              <c16:uniqueId val="{00000002-DDD7-4942-9298-8385547602F2}"/>
            </c:ext>
          </c:extLst>
        </c:ser>
        <c:dLbls>
          <c:showLegendKey val="0"/>
          <c:showVal val="0"/>
          <c:showCatName val="0"/>
          <c:showSerName val="0"/>
          <c:showPercent val="0"/>
          <c:showBubbleSize val="0"/>
        </c:dLbls>
        <c:gapWidth val="75"/>
        <c:overlap val="-25"/>
        <c:axId val="1325011887"/>
        <c:axId val="1325010223"/>
      </c:barChart>
      <c:catAx>
        <c:axId val="13250118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25010223"/>
        <c:crosses val="autoZero"/>
        <c:auto val="1"/>
        <c:lblAlgn val="ctr"/>
        <c:lblOffset val="100"/>
        <c:noMultiLvlLbl val="0"/>
      </c:catAx>
      <c:valAx>
        <c:axId val="13250102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25011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trlProps/ctrlProp1.xml><?xml version="1.0" encoding="utf-8"?>
<formControlPr xmlns="http://schemas.microsoft.com/office/spreadsheetml/2009/9/main" objectType="CheckBox" checked="Checked" fmlaLink="$S$1" lockText="1" noThreeD="1"/>
</file>

<file path=xl/ctrlProps/ctrlProp2.xml><?xml version="1.0" encoding="utf-8"?>
<formControlPr xmlns="http://schemas.microsoft.com/office/spreadsheetml/2009/9/main" objectType="CheckBox" checked="Checked" fmlaLink="$T$1" lockText="1" noThreeD="1"/>
</file>

<file path=xl/ctrlProps/ctrlProp3.xml><?xml version="1.0" encoding="utf-8"?>
<formControlPr xmlns="http://schemas.microsoft.com/office/spreadsheetml/2009/9/main" objectType="CheckBox" checked="Checked" fmlaLink="$U$1" lockText="1" noThreeD="1"/>
</file>

<file path=xl/drawings/_rels/drawing1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4.xml"/></Relationships>
</file>

<file path=xl/drawings/_rels/drawing29.xml.rels><?xml version="1.0" encoding="UTF-8" standalone="yes"?>
<Relationships xmlns="http://schemas.openxmlformats.org/package/2006/relationships"><Relationship Id="rId2" Type="http://schemas.microsoft.com/office/2007/relationships/hdphoto" Target="../media/hdphoto1.wdp"/><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9</xdr:col>
      <xdr:colOff>600126</xdr:colOff>
      <xdr:row>0</xdr:row>
      <xdr:rowOff>0</xdr:rowOff>
    </xdr:from>
    <xdr:ext cx="3686124"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6086526" y="0"/>
          <a:ext cx="3686124" cy="937629"/>
        </a:xfrm>
        <a:prstGeom prst="rect">
          <a:avLst/>
        </a:prstGeom>
        <a:solidFill>
          <a:srgbClr val="00B0F0"/>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square" lIns="91440" tIns="45720" rIns="91440" bIns="45720">
          <a:spAutoFit/>
        </a:bodyPr>
        <a:lstStyle/>
        <a:p>
          <a:pPr algn="ctr"/>
          <a:r>
            <a:rPr lang="en-US" sz="5400" b="0" cap="none" spc="0" baseline="0">
              <a:ln w="0"/>
              <a:solidFill>
                <a:schemeClr val="tx1"/>
              </a:solidFill>
              <a:effectLst>
                <a:outerShdw blurRad="50800" dist="38100" algn="l" rotWithShape="0">
                  <a:prstClr val="black">
                    <a:alpha val="40000"/>
                  </a:prstClr>
                </a:outerShdw>
              </a:effectLst>
            </a:rPr>
            <a:t>Basic Excel</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9</xdr:col>
      <xdr:colOff>571565</xdr:colOff>
      <xdr:row>0</xdr:row>
      <xdr:rowOff>2673</xdr:rowOff>
    </xdr:from>
    <xdr:ext cx="3705160" cy="937629"/>
    <xdr:sp macro="" textlink="">
      <xdr:nvSpPr>
        <xdr:cNvPr id="2" name="Rectangle 1">
          <a:extLst>
            <a:ext uri="{FF2B5EF4-FFF2-40B4-BE49-F238E27FC236}">
              <a16:creationId xmlns:a16="http://schemas.microsoft.com/office/drawing/2014/main" id="{00000000-0008-0000-0100-000002000000}"/>
            </a:ext>
          </a:extLst>
        </xdr:cNvPr>
        <xdr:cNvSpPr/>
      </xdr:nvSpPr>
      <xdr:spPr>
        <a:xfrm>
          <a:off x="6057965" y="2673"/>
          <a:ext cx="3705160" cy="937629"/>
        </a:xfrm>
        <a:prstGeom prst="rect">
          <a:avLst/>
        </a:prstGeom>
        <a:solidFill>
          <a:srgbClr val="E10F87"/>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square" lIns="91440" tIns="45720" rIns="91440" bIns="45720">
          <a:spAutoFit/>
        </a:bodyPr>
        <a:lstStyle/>
        <a:p>
          <a:pPr algn="ctr"/>
          <a:r>
            <a:rPr lang="en-US" sz="5400" b="0" cap="none" spc="0">
              <a:ln w="0"/>
              <a:solidFill>
                <a:schemeClr val="tx1"/>
              </a:solidFill>
              <a:effectLst>
                <a:outerShdw blurRad="50800" dist="38100" dir="5400000" algn="t" rotWithShape="0">
                  <a:prstClr val="black">
                    <a:alpha val="40000"/>
                  </a:prstClr>
                </a:outerShdw>
              </a:effectLst>
            </a:rPr>
            <a:t>MARKSHEET</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7</xdr:col>
      <xdr:colOff>142876</xdr:colOff>
      <xdr:row>0</xdr:row>
      <xdr:rowOff>0</xdr:rowOff>
    </xdr:from>
    <xdr:ext cx="7172324" cy="937629"/>
    <xdr:sp macro="" textlink="">
      <xdr:nvSpPr>
        <xdr:cNvPr id="2" name="Rectangle 1">
          <a:extLst>
            <a:ext uri="{FF2B5EF4-FFF2-40B4-BE49-F238E27FC236}">
              <a16:creationId xmlns:a16="http://schemas.microsoft.com/office/drawing/2014/main" id="{00000000-0008-0000-0200-000002000000}"/>
            </a:ext>
          </a:extLst>
        </xdr:cNvPr>
        <xdr:cNvSpPr/>
      </xdr:nvSpPr>
      <xdr:spPr>
        <a:xfrm>
          <a:off x="4410076" y="0"/>
          <a:ext cx="7172324" cy="937629"/>
        </a:xfrm>
        <a:prstGeom prst="rect">
          <a:avLst/>
        </a:prstGeom>
        <a:solidFill>
          <a:srgbClr val="E10F87"/>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square" lIns="91440" tIns="45720" rIns="91440" bIns="45720">
          <a:spAutoFit/>
        </a:bodyPr>
        <a:lstStyle/>
        <a:p>
          <a:pPr algn="ctr"/>
          <a:r>
            <a:rPr lang="en-US" sz="5400" b="0" cap="none" spc="0">
              <a:ln w="0"/>
              <a:solidFill>
                <a:schemeClr val="tx1"/>
              </a:solidFill>
              <a:effectLst>
                <a:outerShdw blurRad="50800" dist="38100" algn="l" rotWithShape="0">
                  <a:prstClr val="black">
                    <a:alpha val="40000"/>
                  </a:prstClr>
                </a:outerShdw>
              </a:effectLst>
            </a:rPr>
            <a:t>DATE</a:t>
          </a:r>
          <a:r>
            <a:rPr lang="en-US" sz="5400" b="0" cap="none" spc="0" baseline="0">
              <a:ln w="0"/>
              <a:solidFill>
                <a:schemeClr val="tx1"/>
              </a:solidFill>
              <a:effectLst>
                <a:outerShdw blurRad="50800" dist="38100" algn="l" rotWithShape="0">
                  <a:prstClr val="black">
                    <a:alpha val="40000"/>
                  </a:prstClr>
                </a:outerShdw>
              </a:effectLst>
            </a:rPr>
            <a:t> &amp; TIME FUNTION</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6</xdr:col>
      <xdr:colOff>36979</xdr:colOff>
      <xdr:row>0</xdr:row>
      <xdr:rowOff>0</xdr:rowOff>
    </xdr:from>
    <xdr:ext cx="5983946" cy="937629"/>
    <xdr:sp macro="" textlink="">
      <xdr:nvSpPr>
        <xdr:cNvPr id="2" name="Rectangle 1">
          <a:extLst>
            <a:ext uri="{FF2B5EF4-FFF2-40B4-BE49-F238E27FC236}">
              <a16:creationId xmlns:a16="http://schemas.microsoft.com/office/drawing/2014/main" id="{00000000-0008-0000-0300-000002000000}"/>
            </a:ext>
          </a:extLst>
        </xdr:cNvPr>
        <xdr:cNvSpPr/>
      </xdr:nvSpPr>
      <xdr:spPr>
        <a:xfrm>
          <a:off x="6723529" y="0"/>
          <a:ext cx="5983946" cy="937629"/>
        </a:xfrm>
        <a:prstGeom prst="rect">
          <a:avLst/>
        </a:prstGeom>
        <a:solidFill>
          <a:srgbClr val="9966FF"/>
        </a:solidFill>
        <a:ln>
          <a:noFill/>
        </a:ln>
        <a:effectLst>
          <a:outerShdw blurRad="107950" dist="12700" dir="5400000" algn="ctr">
            <a:srgbClr val="000000"/>
          </a:outerShdw>
        </a:effectLst>
        <a:scene3d>
          <a:camera prst="orthographicFront"/>
          <a:lightRig rig="threePt" dir="t"/>
        </a:scene3d>
        <a:sp3d>
          <a:bevelT prst="convex"/>
        </a:sp3d>
      </xdr:spPr>
      <xdr:txBody>
        <a:bodyPr wrap="none" lIns="91440" tIns="45720" rIns="91440" bIns="45720">
          <a:spAutoFit/>
        </a:bodyPr>
        <a:lstStyle/>
        <a:p>
          <a:pPr algn="ctr"/>
          <a:r>
            <a:rPr lang="en-US" sz="5400" b="0" cap="none" spc="0">
              <a:ln w="0"/>
              <a:solidFill>
                <a:schemeClr val="tx1"/>
              </a:solidFill>
              <a:effectLst>
                <a:outerShdw blurRad="50800" dist="38100" algn="l" rotWithShape="0">
                  <a:prstClr val="black">
                    <a:alpha val="40000"/>
                  </a:prstClr>
                </a:outerShdw>
              </a:effectLst>
            </a:rPr>
            <a:t>COUNTIF</a:t>
          </a:r>
          <a:r>
            <a:rPr lang="en-US" sz="5400" b="0" cap="none" spc="0">
              <a:ln w="0"/>
              <a:solidFill>
                <a:schemeClr val="tx1"/>
              </a:solidFill>
              <a:effectLst>
                <a:outerShdw blurRad="38100" dist="19050" dir="2700000" algn="tl" rotWithShape="0">
                  <a:schemeClr val="dk1">
                    <a:alpha val="40000"/>
                  </a:schemeClr>
                </a:outerShdw>
              </a:effectLst>
            </a:rPr>
            <a:t>,COUNTIFS</a:t>
          </a:r>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8</xdr:col>
      <xdr:colOff>547121</xdr:colOff>
      <xdr:row>0</xdr:row>
      <xdr:rowOff>0</xdr:rowOff>
    </xdr:from>
    <xdr:ext cx="4982711" cy="937629"/>
    <xdr:sp macro="" textlink="">
      <xdr:nvSpPr>
        <xdr:cNvPr id="2" name="Rectangle 1">
          <a:extLst>
            <a:ext uri="{FF2B5EF4-FFF2-40B4-BE49-F238E27FC236}">
              <a16:creationId xmlns:a16="http://schemas.microsoft.com/office/drawing/2014/main" id="{00000000-0008-0000-0400-000002000000}"/>
            </a:ext>
          </a:extLst>
        </xdr:cNvPr>
        <xdr:cNvSpPr/>
      </xdr:nvSpPr>
      <xdr:spPr>
        <a:xfrm>
          <a:off x="5423921" y="0"/>
          <a:ext cx="4982711" cy="937629"/>
        </a:xfrm>
        <a:prstGeom prst="rect">
          <a:avLst/>
        </a:prstGeom>
        <a:solidFill>
          <a:srgbClr val="9966FF"/>
        </a:solidFill>
        <a:ln>
          <a:noFill/>
        </a:ln>
        <a:effectLst>
          <a:outerShdw blurRad="107950" dist="12700" dir="5400000" algn="ctr">
            <a:srgbClr val="000000"/>
          </a:outerShdw>
        </a:effectLst>
        <a:scene3d>
          <a:camera prst="orthographicFront"/>
          <a:lightRig rig="threePt" dir="t"/>
        </a:scene3d>
        <a:sp3d>
          <a:bevelT prst="convex"/>
        </a:sp3d>
      </xdr:spPr>
      <xdr:txBody>
        <a:bodyPr wrap="none" lIns="91440" tIns="45720" rIns="91440" bIns="45720">
          <a:spAutoFit/>
        </a:bodyPr>
        <a:lstStyle/>
        <a:p>
          <a:pPr algn="ctr"/>
          <a:r>
            <a:rPr lang="en-US" sz="5400" b="0" cap="none" spc="0">
              <a:ln w="0"/>
              <a:solidFill>
                <a:schemeClr val="tx1"/>
              </a:solidFill>
              <a:effectLst>
                <a:outerShdw blurRad="50800" dist="38100" algn="l" rotWithShape="0">
                  <a:prstClr val="black">
                    <a:alpha val="40000"/>
                  </a:prstClr>
                </a:outerShdw>
              </a:effectLst>
            </a:rPr>
            <a:t>SUMIF</a:t>
          </a:r>
          <a:r>
            <a:rPr lang="en-US" sz="5400" b="0" cap="none" spc="0" baseline="0">
              <a:ln w="0"/>
              <a:solidFill>
                <a:schemeClr val="tx1"/>
              </a:solidFill>
              <a:effectLst>
                <a:outerShdw blurRad="50800" dist="38100" algn="l" rotWithShape="0">
                  <a:prstClr val="black">
                    <a:alpha val="40000"/>
                  </a:prstClr>
                </a:outerShdw>
              </a:effectLst>
            </a:rPr>
            <a:t> &amp; SUMIFS</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oneCellAnchor>
    <xdr:from>
      <xdr:col>6</xdr:col>
      <xdr:colOff>437498</xdr:colOff>
      <xdr:row>0</xdr:row>
      <xdr:rowOff>0</xdr:rowOff>
    </xdr:from>
    <xdr:ext cx="7734952" cy="937629"/>
    <xdr:sp macro="" textlink="">
      <xdr:nvSpPr>
        <xdr:cNvPr id="2" name="Rectangle 1">
          <a:extLst>
            <a:ext uri="{FF2B5EF4-FFF2-40B4-BE49-F238E27FC236}">
              <a16:creationId xmlns:a16="http://schemas.microsoft.com/office/drawing/2014/main" id="{00000000-0008-0000-0500-000002000000}"/>
            </a:ext>
          </a:extLst>
        </xdr:cNvPr>
        <xdr:cNvSpPr/>
      </xdr:nvSpPr>
      <xdr:spPr>
        <a:xfrm>
          <a:off x="4095098" y="0"/>
          <a:ext cx="7734952" cy="937629"/>
        </a:xfrm>
        <a:prstGeom prst="rect">
          <a:avLst/>
        </a:prstGeom>
        <a:solidFill>
          <a:srgbClr val="9966FF"/>
        </a:solidFill>
        <a:scene3d>
          <a:camera prst="orthographicFront"/>
          <a:lightRig rig="threePt" dir="t"/>
        </a:scene3d>
        <a:sp3d>
          <a:bevelT prst="convex"/>
        </a:sp3d>
      </xdr:spPr>
      <xdr:txBody>
        <a:bodyPr wrap="squar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AVERAGEIF</a:t>
          </a:r>
          <a:r>
            <a:rPr lang="en-US" sz="5400" b="0" cap="none" spc="0" baseline="0">
              <a:ln w="0"/>
              <a:solidFill>
                <a:schemeClr val="tx1"/>
              </a:solidFill>
              <a:effectLst>
                <a:outerShdw blurRad="38100" dist="19050" dir="2700000" algn="tl" rotWithShape="0">
                  <a:schemeClr val="dk1">
                    <a:alpha val="40000"/>
                  </a:schemeClr>
                </a:outerShdw>
              </a:effectLst>
            </a:rPr>
            <a:t> &amp; AVERAGEIFS</a:t>
          </a:r>
          <a:endParaRPr lang="en-US" sz="54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7.xml><?xml version="1.0" encoding="utf-8"?>
<xdr:wsDr xmlns:xdr="http://schemas.openxmlformats.org/drawingml/2006/spreadsheetDrawing" xmlns:a="http://schemas.openxmlformats.org/drawingml/2006/main">
  <xdr:oneCellAnchor>
    <xdr:from>
      <xdr:col>6</xdr:col>
      <xdr:colOff>1</xdr:colOff>
      <xdr:row>0</xdr:row>
      <xdr:rowOff>0</xdr:rowOff>
    </xdr:from>
    <xdr:ext cx="8743950" cy="962025"/>
    <xdr:sp macro="" textlink="">
      <xdr:nvSpPr>
        <xdr:cNvPr id="2" name="Rectangle 1">
          <a:extLst>
            <a:ext uri="{FF2B5EF4-FFF2-40B4-BE49-F238E27FC236}">
              <a16:creationId xmlns:a16="http://schemas.microsoft.com/office/drawing/2014/main" id="{00000000-0008-0000-0600-000002000000}"/>
            </a:ext>
          </a:extLst>
        </xdr:cNvPr>
        <xdr:cNvSpPr/>
      </xdr:nvSpPr>
      <xdr:spPr>
        <a:xfrm>
          <a:off x="3657601" y="0"/>
          <a:ext cx="8743950" cy="962025"/>
        </a:xfrm>
        <a:prstGeom prst="rect">
          <a:avLst/>
        </a:prstGeom>
        <a:solidFill>
          <a:srgbClr val="355ACF"/>
        </a:solidFill>
        <a:scene3d>
          <a:camera prst="orthographicFront"/>
          <a:lightRig rig="threePt" dir="t"/>
        </a:scene3d>
        <a:sp3d>
          <a:bevelT prst="convex"/>
        </a:sp3d>
      </xdr:spPr>
      <xdr:txBody>
        <a:bodyPr wrap="none" lIns="91440" tIns="45720" rIns="91440" bIns="45720">
          <a:noAutofit/>
        </a:bodyPr>
        <a:lstStyle/>
        <a:p>
          <a:pPr algn="ctr"/>
          <a:r>
            <a:rPr lang="en-US" sz="5400" b="0" cap="none" spc="0">
              <a:ln w="0"/>
              <a:solidFill>
                <a:schemeClr val="bg1"/>
              </a:solidFill>
              <a:effectLst>
                <a:outerShdw blurRad="50800" dist="38100" algn="l" rotWithShape="0">
                  <a:prstClr val="black">
                    <a:alpha val="40000"/>
                  </a:prstClr>
                </a:outerShdw>
              </a:effectLst>
            </a:rPr>
            <a:t>VLOOKUP</a:t>
          </a:r>
          <a:r>
            <a:rPr lang="en-US" sz="5400" b="0" cap="none" spc="0" baseline="0">
              <a:ln w="0"/>
              <a:solidFill>
                <a:schemeClr val="bg1"/>
              </a:solidFill>
              <a:effectLst>
                <a:outerShdw blurRad="50800" dist="38100" algn="l" rotWithShape="0">
                  <a:prstClr val="black">
                    <a:alpha val="40000"/>
                  </a:prstClr>
                </a:outerShdw>
              </a:effectLst>
            </a:rPr>
            <a:t>,VLOOKUP MATCH</a:t>
          </a:r>
          <a:endParaRPr lang="en-US" sz="5400" b="0" cap="none" spc="0">
            <a:ln w="0"/>
            <a:solidFill>
              <a:schemeClr val="bg1"/>
            </a:solidFill>
            <a:effectLst>
              <a:outerShdw blurRad="50800" dist="38100" algn="l" rotWithShape="0">
                <a:prstClr val="black">
                  <a:alpha val="40000"/>
                </a:prstClr>
              </a:outerShdw>
            </a:effectLst>
          </a:endParaRPr>
        </a:p>
      </xdr:txBody>
    </xdr:sp>
    <xdr:clientData/>
  </xdr:oneCellAnchor>
</xdr:wsDr>
</file>

<file path=xl/drawings/drawing8.xml><?xml version="1.0" encoding="utf-8"?>
<xdr:wsDr xmlns:xdr="http://schemas.openxmlformats.org/drawingml/2006/spreadsheetDrawing" xmlns:a="http://schemas.openxmlformats.org/drawingml/2006/main">
  <xdr:oneCellAnchor>
    <xdr:from>
      <xdr:col>7</xdr:col>
      <xdr:colOff>9525</xdr:colOff>
      <xdr:row>0</xdr:row>
      <xdr:rowOff>0</xdr:rowOff>
    </xdr:from>
    <xdr:ext cx="8534399" cy="1019175"/>
    <xdr:sp macro="" textlink="">
      <xdr:nvSpPr>
        <xdr:cNvPr id="2" name="Rectangle 1">
          <a:extLst>
            <a:ext uri="{FF2B5EF4-FFF2-40B4-BE49-F238E27FC236}">
              <a16:creationId xmlns:a16="http://schemas.microsoft.com/office/drawing/2014/main" id="{00000000-0008-0000-0700-000002000000}"/>
            </a:ext>
          </a:extLst>
        </xdr:cNvPr>
        <xdr:cNvSpPr/>
      </xdr:nvSpPr>
      <xdr:spPr>
        <a:xfrm>
          <a:off x="4276725" y="0"/>
          <a:ext cx="8534399" cy="1019175"/>
        </a:xfrm>
        <a:prstGeom prst="rect">
          <a:avLst/>
        </a:prstGeom>
        <a:solidFill>
          <a:srgbClr val="355ACF"/>
        </a:solidFill>
        <a:scene3d>
          <a:camera prst="orthographicFront"/>
          <a:lightRig rig="threePt" dir="t"/>
        </a:scene3d>
        <a:sp3d>
          <a:bevelT prst="convex"/>
        </a:sp3d>
      </xdr:spPr>
      <xdr:txBody>
        <a:bodyPr wrap="square" lIns="91440" tIns="45720" rIns="91440" bIns="45720">
          <a:noAutofit/>
        </a:bodyPr>
        <a:lstStyle/>
        <a:p>
          <a:pPr algn="ctr"/>
          <a:r>
            <a:rPr lang="en-US" sz="5400" b="0" cap="none" spc="0">
              <a:ln w="0">
                <a:solidFill>
                  <a:schemeClr val="bg1"/>
                </a:solidFill>
              </a:ln>
              <a:solidFill>
                <a:schemeClr val="bg1"/>
              </a:solidFill>
              <a:effectLst>
                <a:outerShdw blurRad="50800" dist="38100" dir="10800000" algn="r" rotWithShape="0">
                  <a:prstClr val="black">
                    <a:alpha val="40000"/>
                  </a:prstClr>
                </a:outerShdw>
              </a:effectLst>
            </a:rPr>
            <a:t>HLOOKUP,HLOOKUP</a:t>
          </a:r>
          <a:r>
            <a:rPr lang="en-US" sz="5400" b="0" cap="none" spc="0" baseline="0">
              <a:ln w="0">
                <a:solidFill>
                  <a:schemeClr val="bg1"/>
                </a:solidFill>
              </a:ln>
              <a:solidFill>
                <a:schemeClr val="bg1"/>
              </a:solidFill>
              <a:effectLst>
                <a:outerShdw blurRad="50800" dist="38100" dir="10800000" algn="r" rotWithShape="0">
                  <a:prstClr val="black">
                    <a:alpha val="40000"/>
                  </a:prstClr>
                </a:outerShdw>
              </a:effectLst>
            </a:rPr>
            <a:t> MATCH</a:t>
          </a:r>
          <a:endParaRPr lang="en-US" sz="5400" b="0" cap="none" spc="0">
            <a:ln w="0">
              <a:solidFill>
                <a:schemeClr val="bg1"/>
              </a:solidFill>
            </a:ln>
            <a:solidFill>
              <a:schemeClr val="bg1"/>
            </a:solidFill>
            <a:effectLst>
              <a:outerShdw blurRad="50800" dist="38100" dir="10800000" algn="r" rotWithShape="0">
                <a:prstClr val="black">
                  <a:alpha val="40000"/>
                </a:prstClr>
              </a:outerShdw>
            </a:effectLst>
          </a:endParaRPr>
        </a:p>
      </xdr:txBody>
    </xdr:sp>
    <xdr:clientData/>
  </xdr:oneCellAnchor>
</xdr:wsDr>
</file>

<file path=xl/drawings/drawing9.xml><?xml version="1.0" encoding="utf-8"?>
<xdr:wsDr xmlns:xdr="http://schemas.openxmlformats.org/drawingml/2006/spreadsheetDrawing" xmlns:a="http://schemas.openxmlformats.org/drawingml/2006/main">
  <xdr:oneCellAnchor>
    <xdr:from>
      <xdr:col>8</xdr:col>
      <xdr:colOff>0</xdr:colOff>
      <xdr:row>0</xdr:row>
      <xdr:rowOff>0</xdr:rowOff>
    </xdr:from>
    <xdr:ext cx="5200650" cy="952500"/>
    <xdr:sp macro="" textlink="">
      <xdr:nvSpPr>
        <xdr:cNvPr id="2" name="Rectangle 1">
          <a:extLst>
            <a:ext uri="{FF2B5EF4-FFF2-40B4-BE49-F238E27FC236}">
              <a16:creationId xmlns:a16="http://schemas.microsoft.com/office/drawing/2014/main" id="{00000000-0008-0000-0800-000002000000}"/>
            </a:ext>
          </a:extLst>
        </xdr:cNvPr>
        <xdr:cNvSpPr/>
      </xdr:nvSpPr>
      <xdr:spPr>
        <a:xfrm>
          <a:off x="5286375" y="0"/>
          <a:ext cx="5200650" cy="952500"/>
        </a:xfrm>
        <a:prstGeom prst="rect">
          <a:avLst/>
        </a:prstGeom>
        <a:solidFill>
          <a:srgbClr val="355ACF"/>
        </a:solidFill>
        <a:scene3d>
          <a:camera prst="orthographicFront"/>
          <a:lightRig rig="threePt" dir="t"/>
        </a:scene3d>
        <a:sp3d>
          <a:bevelT prst="convex"/>
        </a:sp3d>
      </xdr:spPr>
      <xdr:txBody>
        <a:bodyPr wrap="none" lIns="91440" tIns="45720" rIns="91440" bIns="45720">
          <a:noAutofit/>
        </a:bodyPr>
        <a:lstStyle/>
        <a:p>
          <a:pPr algn="ctr"/>
          <a:r>
            <a:rPr lang="en-US" sz="5400" b="0" cap="none" spc="0">
              <a:ln w="0"/>
              <a:solidFill>
                <a:schemeClr val="bg1"/>
              </a:solidFill>
              <a:effectLst>
                <a:outerShdw blurRad="38100" dist="19050" dir="2700000" algn="tl" rotWithShape="0">
                  <a:schemeClr val="dk1">
                    <a:alpha val="40000"/>
                  </a:schemeClr>
                </a:outerShdw>
              </a:effectLst>
            </a:rPr>
            <a:t>INDEX</a:t>
          </a:r>
          <a:r>
            <a:rPr lang="en-US" sz="5400" b="0" cap="none" spc="0" baseline="0">
              <a:ln w="0"/>
              <a:solidFill>
                <a:schemeClr val="bg1"/>
              </a:solidFill>
              <a:effectLst>
                <a:outerShdw blurRad="38100" dist="19050" dir="2700000" algn="tl" rotWithShape="0">
                  <a:schemeClr val="dk1">
                    <a:alpha val="40000"/>
                  </a:schemeClr>
                </a:outerShdw>
              </a:effectLst>
            </a:rPr>
            <a:t> MATCH</a:t>
          </a:r>
          <a:endParaRPr lang="en-US" sz="5400" b="0" cap="none" spc="0">
            <a:ln w="0"/>
            <a:solidFill>
              <a:schemeClr val="bg1"/>
            </a:solidFill>
            <a:effectLst>
              <a:outerShdw blurRad="38100" dist="19050" dir="2700000" algn="tl" rotWithShape="0">
                <a:schemeClr val="dk1">
                  <a:alpha val="40000"/>
                </a:schemeClr>
              </a:outerShdw>
            </a:effectLst>
          </a:endParaRPr>
        </a:p>
      </xdr:txBody>
    </xdr:sp>
    <xdr:clientData/>
  </xdr:oneCellAnchor>
</xdr:wsDr>
</file>

<file path=xl/drawings/drawing10.xml><?xml version="1.0" encoding="utf-8"?>
<xdr:wsDr xmlns:xdr="http://schemas.openxmlformats.org/drawingml/2006/spreadsheetDrawing" xmlns:a="http://schemas.openxmlformats.org/drawingml/2006/main">
  <xdr:oneCellAnchor>
    <xdr:from>
      <xdr:col>8</xdr:col>
      <xdr:colOff>600076</xdr:colOff>
      <xdr:row>0</xdr:row>
      <xdr:rowOff>0</xdr:rowOff>
    </xdr:from>
    <xdr:ext cx="5476874" cy="942975"/>
    <xdr:sp macro="" textlink="">
      <xdr:nvSpPr>
        <xdr:cNvPr id="2" name="Rectangle 1">
          <a:extLst>
            <a:ext uri="{FF2B5EF4-FFF2-40B4-BE49-F238E27FC236}">
              <a16:creationId xmlns:a16="http://schemas.microsoft.com/office/drawing/2014/main" id="{00000000-0008-0000-0900-000002000000}"/>
            </a:ext>
          </a:extLst>
        </xdr:cNvPr>
        <xdr:cNvSpPr/>
      </xdr:nvSpPr>
      <xdr:spPr>
        <a:xfrm>
          <a:off x="5476876" y="0"/>
          <a:ext cx="5476874" cy="942975"/>
        </a:xfrm>
        <a:prstGeom prst="rect">
          <a:avLst/>
        </a:prstGeom>
        <a:solidFill>
          <a:srgbClr val="FABCDF"/>
        </a:solidFill>
        <a:scene3d>
          <a:camera prst="orthographicFront"/>
          <a:lightRig rig="threePt" dir="t"/>
        </a:scene3d>
        <a:sp3d>
          <a:bevelT prst="convex"/>
        </a:sp3d>
      </xdr:spPr>
      <xdr:txBody>
        <a:bodyPr wrap="none" lIns="91440" tIns="45720" rIns="91440" bIns="45720">
          <a:noAutofit/>
        </a:bodyPr>
        <a:lstStyle/>
        <a:p>
          <a:pPr algn="ctr"/>
          <a:r>
            <a:rPr lang="en-US" sz="5400" b="0" cap="none" spc="0">
              <a:ln w="0"/>
              <a:solidFill>
                <a:schemeClr val="tx1"/>
              </a:solidFill>
              <a:effectLst>
                <a:outerShdw blurRad="50800" dist="38100" dir="2700000" algn="tl" rotWithShape="0">
                  <a:prstClr val="black">
                    <a:alpha val="40000"/>
                  </a:prstClr>
                </a:outerShdw>
              </a:effectLst>
            </a:rPr>
            <a:t>ISEVEN</a:t>
          </a:r>
          <a:r>
            <a:rPr lang="en-US" sz="5400" b="0" cap="none" spc="0" baseline="0">
              <a:ln w="0"/>
              <a:solidFill>
                <a:schemeClr val="tx1"/>
              </a:solidFill>
              <a:effectLst>
                <a:outerShdw blurRad="50800" dist="38100" dir="2700000" algn="tl" rotWithShape="0">
                  <a:prstClr val="black">
                    <a:alpha val="40000"/>
                  </a:prstClr>
                </a:outerShdw>
              </a:effectLst>
            </a:rPr>
            <a:t> ,ISODD</a:t>
          </a:r>
          <a:endParaRPr lang="en-US" sz="5400" b="0" cap="none" spc="0">
            <a:ln w="0"/>
            <a:solidFill>
              <a:schemeClr val="tx1"/>
            </a:solidFill>
            <a:effectLst>
              <a:outerShdw blurRad="50800" dist="38100" dir="2700000" algn="tl" rotWithShape="0">
                <a:prstClr val="black">
                  <a:alpha val="40000"/>
                </a:prstClr>
              </a:outerShdw>
            </a:effectLst>
          </a:endParaRPr>
        </a:p>
      </xdr:txBody>
    </xdr:sp>
    <xdr:clientData/>
  </xdr:oneCellAnchor>
</xdr:wsDr>
</file>

<file path=xl/drawings/drawing11.xml><?xml version="1.0" encoding="utf-8"?>
<xdr:wsDr xmlns:xdr="http://schemas.openxmlformats.org/drawingml/2006/spreadsheetDrawing" xmlns:a="http://schemas.openxmlformats.org/drawingml/2006/main">
  <xdr:oneCellAnchor>
    <xdr:from>
      <xdr:col>4</xdr:col>
      <xdr:colOff>1038796</xdr:colOff>
      <xdr:row>0</xdr:row>
      <xdr:rowOff>1</xdr:rowOff>
    </xdr:from>
    <xdr:ext cx="5370957" cy="971550"/>
    <xdr:sp macro="" textlink="">
      <xdr:nvSpPr>
        <xdr:cNvPr id="3" name="Rectangle 2">
          <a:extLst>
            <a:ext uri="{FF2B5EF4-FFF2-40B4-BE49-F238E27FC236}">
              <a16:creationId xmlns:a16="http://schemas.microsoft.com/office/drawing/2014/main" id="{00000000-0008-0000-0A00-000003000000}"/>
            </a:ext>
          </a:extLst>
        </xdr:cNvPr>
        <xdr:cNvSpPr/>
      </xdr:nvSpPr>
      <xdr:spPr>
        <a:xfrm>
          <a:off x="5839396" y="1"/>
          <a:ext cx="5370957" cy="971550"/>
        </a:xfrm>
        <a:prstGeom prst="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none" lIns="91440" tIns="45720" rIns="91440" bIns="45720">
          <a:noAutofit/>
        </a:bodyPr>
        <a:lstStyle/>
        <a:p>
          <a:pPr algn="ctr"/>
          <a:r>
            <a:rPr lang="en-US" sz="5400" b="0" cap="none" spc="0">
              <a:ln w="0"/>
              <a:solidFill>
                <a:schemeClr val="tx1"/>
              </a:solidFill>
              <a:effectLst>
                <a:outerShdw blurRad="50800" dist="38100" algn="l" rotWithShape="0">
                  <a:prstClr val="black">
                    <a:alpha val="40000"/>
                  </a:prstClr>
                </a:outerShdw>
              </a:effectLst>
            </a:rPr>
            <a:t>SEARCH</a:t>
          </a:r>
          <a:r>
            <a:rPr lang="en-US" sz="5400" b="0" cap="none" spc="0" baseline="0">
              <a:ln w="0"/>
              <a:solidFill>
                <a:schemeClr val="tx1"/>
              </a:solidFill>
              <a:effectLst>
                <a:outerShdw blurRad="50800" dist="38100" algn="l" rotWithShape="0">
                  <a:prstClr val="black">
                    <a:alpha val="40000"/>
                  </a:prstClr>
                </a:outerShdw>
              </a:effectLst>
            </a:rPr>
            <a:t> AND FIND</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12.xml><?xml version="1.0" encoding="utf-8"?>
<xdr:wsDr xmlns:xdr="http://schemas.openxmlformats.org/drawingml/2006/spreadsheetDrawing" xmlns:a="http://schemas.openxmlformats.org/drawingml/2006/main">
  <xdr:twoCellAnchor>
    <xdr:from>
      <xdr:col>0</xdr:col>
      <xdr:colOff>0</xdr:colOff>
      <xdr:row>4</xdr:row>
      <xdr:rowOff>147636</xdr:rowOff>
    </xdr:from>
    <xdr:to>
      <xdr:col>10</xdr:col>
      <xdr:colOff>123825</xdr:colOff>
      <xdr:row>35</xdr:row>
      <xdr:rowOff>0</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104775</xdr:colOff>
      <xdr:row>4</xdr:row>
      <xdr:rowOff>171449</xdr:rowOff>
    </xdr:from>
    <xdr:to>
      <xdr:col>20</xdr:col>
      <xdr:colOff>409575</xdr:colOff>
      <xdr:row>30</xdr:row>
      <xdr:rowOff>19050</xdr:rowOff>
    </xdr:to>
    <xdr:graphicFrame macro="">
      <xdr:nvGraphicFramePr>
        <xdr:cNvPr id="8" name="Chart 7">
          <a:extLst>
            <a:ext uri="{FF2B5EF4-FFF2-40B4-BE49-F238E27FC236}">
              <a16:creationId xmlns:a16="http://schemas.microsoft.com/office/drawing/2014/main" id="{00000000-0008-0000-0B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22</xdr:col>
      <xdr:colOff>260055</xdr:colOff>
      <xdr:row>18</xdr:row>
      <xdr:rowOff>136023</xdr:rowOff>
    </xdr:from>
    <xdr:ext cx="184730" cy="937629"/>
    <xdr:sp macro="" textlink="">
      <xdr:nvSpPr>
        <xdr:cNvPr id="9" name="Rectangle 8">
          <a:extLst>
            <a:ext uri="{FF2B5EF4-FFF2-40B4-BE49-F238E27FC236}">
              <a16:creationId xmlns:a16="http://schemas.microsoft.com/office/drawing/2014/main" id="{00000000-0008-0000-0B00-000009000000}"/>
            </a:ext>
          </a:extLst>
        </xdr:cNvPr>
        <xdr:cNvSpPr/>
      </xdr:nvSpPr>
      <xdr:spPr>
        <a:xfrm>
          <a:off x="15585780" y="3565023"/>
          <a:ext cx="184730" cy="937629"/>
        </a:xfrm>
        <a:prstGeom prst="rect">
          <a:avLst/>
        </a:prstGeom>
        <a:noFill/>
      </xdr:spPr>
      <xdr:txBody>
        <a:bodyPr wrap="none" lIns="91440" tIns="45720" rIns="91440" bIns="45720">
          <a:spAutoFit/>
        </a:bodyPr>
        <a:lstStyle/>
        <a:p>
          <a:pPr algn="ctr"/>
          <a:endParaRPr lang="en-US" sz="5400" b="0" cap="none" spc="0">
            <a:ln w="0"/>
            <a:solidFill>
              <a:schemeClr val="tx1"/>
            </a:solidFill>
            <a:effectLst>
              <a:outerShdw blurRad="38100" dist="19050" dir="2700000" algn="tl" rotWithShape="0">
                <a:schemeClr val="dk1">
                  <a:alpha val="40000"/>
                </a:schemeClr>
              </a:outerShdw>
            </a:effectLst>
          </a:endParaRPr>
        </a:p>
      </xdr:txBody>
    </xdr:sp>
    <xdr:clientData/>
  </xdr:oneCellAnchor>
  <xdr:oneCellAnchor>
    <xdr:from>
      <xdr:col>0</xdr:col>
      <xdr:colOff>9525</xdr:colOff>
      <xdr:row>0</xdr:row>
      <xdr:rowOff>9525</xdr:rowOff>
    </xdr:from>
    <xdr:ext cx="14706600" cy="937629"/>
    <xdr:sp macro="" textlink="">
      <xdr:nvSpPr>
        <xdr:cNvPr id="10" name="Rectangle 9">
          <a:extLst>
            <a:ext uri="{FF2B5EF4-FFF2-40B4-BE49-F238E27FC236}">
              <a16:creationId xmlns:a16="http://schemas.microsoft.com/office/drawing/2014/main" id="{00000000-0008-0000-0B00-00000A000000}"/>
            </a:ext>
          </a:extLst>
        </xdr:cNvPr>
        <xdr:cNvSpPr/>
      </xdr:nvSpPr>
      <xdr:spPr>
        <a:xfrm>
          <a:off x="9525" y="9525"/>
          <a:ext cx="14706600" cy="937629"/>
        </a:xfrm>
        <a:prstGeom prst="rect">
          <a:avLst/>
        </a:prstGeom>
        <a:solidFill>
          <a:schemeClr val="tx1"/>
        </a:solidFill>
        <a:scene3d>
          <a:camera prst="orthographicFront"/>
          <a:lightRig rig="threePt" dir="t"/>
        </a:scene3d>
        <a:sp3d>
          <a:bevelT prst="convex"/>
        </a:sp3d>
      </xdr:spPr>
      <xdr:txBody>
        <a:bodyPr wrap="square" lIns="91440" tIns="45720" rIns="91440" bIns="45720">
          <a:spAutoFit/>
        </a:bodyPr>
        <a:lstStyle/>
        <a:p>
          <a:pPr algn="ctr"/>
          <a:r>
            <a:rPr lang="en-US" sz="5400" b="0" cap="none" spc="0">
              <a:ln w="0">
                <a:solidFill>
                  <a:schemeClr val="bg1"/>
                </a:solidFill>
              </a:ln>
              <a:solidFill>
                <a:schemeClr val="bg1"/>
              </a:solidFill>
              <a:effectLst>
                <a:outerShdw blurRad="50800" dist="38100" algn="l" rotWithShape="0">
                  <a:prstClr val="black">
                    <a:alpha val="40000"/>
                  </a:prstClr>
                </a:outerShdw>
              </a:effectLst>
            </a:rPr>
            <a:t>DATA VISULISATION THROUGH DESHBOARD</a:t>
          </a:r>
          <a:endParaRPr lang="en-GB" sz="5400" b="0" cap="none" spc="0">
            <a:ln w="0">
              <a:solidFill>
                <a:schemeClr val="bg1"/>
              </a:solidFill>
            </a:ln>
            <a:solidFill>
              <a:schemeClr val="bg1"/>
            </a:solidFill>
            <a:effectLst>
              <a:outerShdw blurRad="50800" dist="38100" algn="l" rotWithShape="0">
                <a:prstClr val="black">
                  <a:alpha val="40000"/>
                </a:prstClr>
              </a:outerShdw>
            </a:effectLst>
          </a:endParaRPr>
        </a:p>
      </xdr:txBody>
    </xdr:sp>
    <xdr:clientData/>
  </xdr:oneCellAnchor>
  <mc:AlternateContent xmlns:mc="http://schemas.openxmlformats.org/markup-compatibility/2006">
    <mc:Choice xmlns:a14="http://schemas.microsoft.com/office/drawing/2010/main" Requires="a14">
      <xdr:twoCellAnchor editAs="oneCell">
        <xdr:from>
          <xdr:col>21</xdr:col>
          <xdr:colOff>38100</xdr:colOff>
          <xdr:row>5</xdr:row>
          <xdr:rowOff>0</xdr:rowOff>
        </xdr:from>
        <xdr:to>
          <xdr:col>22</xdr:col>
          <xdr:colOff>323850</xdr:colOff>
          <xdr:row>6</xdr:row>
          <xdr:rowOff>28575</xdr:rowOff>
        </xdr:to>
        <xdr:sp macro="" textlink="">
          <xdr:nvSpPr>
            <xdr:cNvPr id="12304" name="Check Box 16" hidden="1">
              <a:extLst>
                <a:ext uri="{63B3BB69-23CF-44E3-9099-C40C66FF867C}">
                  <a14:compatExt spid="_x0000_s12304"/>
                </a:ext>
                <a:ext uri="{FF2B5EF4-FFF2-40B4-BE49-F238E27FC236}">
                  <a16:creationId xmlns:a16="http://schemas.microsoft.com/office/drawing/2014/main" id="{00000000-0008-0000-0B00-0000103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JAN</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85725</xdr:colOff>
          <xdr:row>7</xdr:row>
          <xdr:rowOff>47625</xdr:rowOff>
        </xdr:from>
        <xdr:to>
          <xdr:col>22</xdr:col>
          <xdr:colOff>342900</xdr:colOff>
          <xdr:row>8</xdr:row>
          <xdr:rowOff>76200</xdr:rowOff>
        </xdr:to>
        <xdr:sp macro="" textlink="">
          <xdr:nvSpPr>
            <xdr:cNvPr id="12305" name="Check Box 17" hidden="1">
              <a:extLst>
                <a:ext uri="{63B3BB69-23CF-44E3-9099-C40C66FF867C}">
                  <a14:compatExt spid="_x0000_s12305"/>
                </a:ext>
                <a:ext uri="{FF2B5EF4-FFF2-40B4-BE49-F238E27FC236}">
                  <a16:creationId xmlns:a16="http://schemas.microsoft.com/office/drawing/2014/main" id="{00000000-0008-0000-0B00-0000113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FEB</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133350</xdr:colOff>
          <xdr:row>9</xdr:row>
          <xdr:rowOff>0</xdr:rowOff>
        </xdr:from>
        <xdr:to>
          <xdr:col>23</xdr:col>
          <xdr:colOff>190500</xdr:colOff>
          <xdr:row>10</xdr:row>
          <xdr:rowOff>28575</xdr:rowOff>
        </xdr:to>
        <xdr:sp macro="" textlink="">
          <xdr:nvSpPr>
            <xdr:cNvPr id="12306" name="Check Box 18" hidden="1">
              <a:extLst>
                <a:ext uri="{63B3BB69-23CF-44E3-9099-C40C66FF867C}">
                  <a14:compatExt spid="_x0000_s12306"/>
                </a:ext>
                <a:ext uri="{FF2B5EF4-FFF2-40B4-BE49-F238E27FC236}">
                  <a16:creationId xmlns:a16="http://schemas.microsoft.com/office/drawing/2014/main" id="{00000000-0008-0000-0B00-0000123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MAR</a:t>
              </a:r>
            </a:p>
          </xdr:txBody>
        </xdr:sp>
        <xdr:clientData/>
      </xdr:twoCellAnchor>
    </mc:Choice>
    <mc:Fallback/>
  </mc:AlternateContent>
</xdr:wsDr>
</file>

<file path=xl/drawings/drawing13.xml><?xml version="1.0" encoding="utf-8"?>
<xdr:wsDr xmlns:xdr="http://schemas.openxmlformats.org/drawingml/2006/spreadsheetDrawing" xmlns:a="http://schemas.openxmlformats.org/drawingml/2006/main">
  <xdr:oneCellAnchor>
    <xdr:from>
      <xdr:col>9</xdr:col>
      <xdr:colOff>0</xdr:colOff>
      <xdr:row>0</xdr:row>
      <xdr:rowOff>9526</xdr:rowOff>
    </xdr:from>
    <xdr:ext cx="4276725" cy="952499"/>
    <xdr:sp macro="" textlink="">
      <xdr:nvSpPr>
        <xdr:cNvPr id="2" name="Rectangle 1">
          <a:extLst>
            <a:ext uri="{FF2B5EF4-FFF2-40B4-BE49-F238E27FC236}">
              <a16:creationId xmlns:a16="http://schemas.microsoft.com/office/drawing/2014/main" id="{00000000-0008-0000-0C00-000002000000}"/>
            </a:ext>
          </a:extLst>
        </xdr:cNvPr>
        <xdr:cNvSpPr/>
      </xdr:nvSpPr>
      <xdr:spPr>
        <a:xfrm>
          <a:off x="5486400" y="9526"/>
          <a:ext cx="4276725" cy="952499"/>
        </a:xfrm>
        <a:prstGeom prst="rect">
          <a:avLst/>
        </a:prstGeom>
        <a:solidFill>
          <a:srgbClr val="92D050"/>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square" lIns="91440" tIns="45720" rIns="91440" bIns="45720">
          <a:no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DASHBOARD</a:t>
          </a:r>
        </a:p>
      </xdr:txBody>
    </xdr:sp>
    <xdr:clientData/>
  </xdr:oneCellAnchor>
</xdr:wsDr>
</file>

<file path=xl/drawings/drawing14.xml><?xml version="1.0" encoding="utf-8"?>
<xdr:wsDr xmlns:xdr="http://schemas.openxmlformats.org/drawingml/2006/spreadsheetDrawing" xmlns:a="http://schemas.openxmlformats.org/drawingml/2006/main">
  <xdr:twoCellAnchor>
    <xdr:from>
      <xdr:col>5</xdr:col>
      <xdr:colOff>1276350</xdr:colOff>
      <xdr:row>15</xdr:row>
      <xdr:rowOff>161925</xdr:rowOff>
    </xdr:from>
    <xdr:to>
      <xdr:col>13</xdr:col>
      <xdr:colOff>571500</xdr:colOff>
      <xdr:row>37</xdr:row>
      <xdr:rowOff>14287</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3</xdr:col>
      <xdr:colOff>276225</xdr:colOff>
      <xdr:row>0</xdr:row>
      <xdr:rowOff>9526</xdr:rowOff>
    </xdr:from>
    <xdr:ext cx="12325350" cy="1133473"/>
    <xdr:sp macro="" textlink="">
      <xdr:nvSpPr>
        <xdr:cNvPr id="3" name="Rectangle 2">
          <a:extLst>
            <a:ext uri="{FF2B5EF4-FFF2-40B4-BE49-F238E27FC236}">
              <a16:creationId xmlns:a16="http://schemas.microsoft.com/office/drawing/2014/main" id="{00000000-0008-0000-0E00-000003000000}"/>
            </a:ext>
          </a:extLst>
        </xdr:cNvPr>
        <xdr:cNvSpPr/>
      </xdr:nvSpPr>
      <xdr:spPr>
        <a:xfrm>
          <a:off x="2571750" y="9526"/>
          <a:ext cx="12325350" cy="1133473"/>
        </a:xfrm>
        <a:prstGeom prst="rect">
          <a:avLst/>
        </a:prstGeom>
        <a:solidFill>
          <a:srgbClr val="00B0F0"/>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none" lIns="91440" tIns="45720" rIns="91440" bIns="45720">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5400" b="0">
              <a:effectLst>
                <a:outerShdw blurRad="50800" dist="38100" algn="l" rotWithShape="0">
                  <a:prstClr val="black">
                    <a:alpha val="40000"/>
                  </a:prstClr>
                </a:outerShdw>
              </a:effectLst>
              <a:latin typeface="+mn-lt"/>
              <a:ea typeface="+mn-ea"/>
              <a:cs typeface="+mn-cs"/>
            </a:rPr>
            <a:t>DATA VISULISATION THROUGH DESHBOARD</a:t>
          </a:r>
          <a:endParaRPr lang="en-GB" sz="34400">
            <a:effectLst>
              <a:outerShdw blurRad="50800" dist="38100" algn="l" rotWithShape="0">
                <a:prstClr val="black">
                  <a:alpha val="40000"/>
                </a:prstClr>
              </a:outerShdw>
            </a:effectLst>
          </a:endParaRPr>
        </a:p>
        <a:p>
          <a:pPr algn="ctr"/>
          <a:endParaRPr lang="en-US" sz="54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15.xml><?xml version="1.0" encoding="utf-8"?>
<xdr:wsDr xmlns:xdr="http://schemas.openxmlformats.org/drawingml/2006/spreadsheetDrawing" xmlns:a="http://schemas.openxmlformats.org/drawingml/2006/main">
  <xdr:oneCellAnchor>
    <xdr:from>
      <xdr:col>9</xdr:col>
      <xdr:colOff>153131</xdr:colOff>
      <xdr:row>0</xdr:row>
      <xdr:rowOff>0</xdr:rowOff>
    </xdr:from>
    <xdr:ext cx="5342794" cy="968878"/>
    <xdr:sp macro="" textlink="">
      <xdr:nvSpPr>
        <xdr:cNvPr id="2" name="Rectangle 1">
          <a:extLst>
            <a:ext uri="{FF2B5EF4-FFF2-40B4-BE49-F238E27FC236}">
              <a16:creationId xmlns:a16="http://schemas.microsoft.com/office/drawing/2014/main" id="{00000000-0008-0000-1000-000002000000}"/>
            </a:ext>
          </a:extLst>
        </xdr:cNvPr>
        <xdr:cNvSpPr/>
      </xdr:nvSpPr>
      <xdr:spPr>
        <a:xfrm>
          <a:off x="5639531" y="0"/>
          <a:ext cx="5342794" cy="968878"/>
        </a:xfrm>
        <a:prstGeom prst="rect">
          <a:avLst/>
        </a:prstGeom>
        <a:solidFill>
          <a:schemeClr val="accent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none" lIns="91440" tIns="45720" rIns="91440" bIns="45720">
          <a:noAutofit/>
        </a:bodyPr>
        <a:lstStyle/>
        <a:p>
          <a:pPr algn="ctr"/>
          <a:r>
            <a:rPr lang="en-US" sz="5400" b="0" cap="none" spc="0">
              <a:ln w="0"/>
              <a:solidFill>
                <a:schemeClr val="tx1"/>
              </a:solidFill>
              <a:effectLst>
                <a:outerShdw blurRad="50800" dist="38100" algn="l" rotWithShape="0">
                  <a:prstClr val="black">
                    <a:alpha val="40000"/>
                  </a:prstClr>
                </a:outerShdw>
              </a:effectLst>
            </a:rPr>
            <a:t>TEXT</a:t>
          </a:r>
          <a:r>
            <a:rPr lang="en-US" sz="5400" b="0" cap="none" spc="0" baseline="0">
              <a:ln w="0"/>
              <a:solidFill>
                <a:schemeClr val="tx1"/>
              </a:solidFill>
              <a:effectLst>
                <a:outerShdw blurRad="50800" dist="38100" algn="l" rotWithShape="0">
                  <a:prstClr val="black">
                    <a:alpha val="40000"/>
                  </a:prstClr>
                </a:outerShdw>
              </a:effectLst>
            </a:rPr>
            <a:t> SEPERATION </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16.xml><?xml version="1.0" encoding="utf-8"?>
<xdr:wsDr xmlns:xdr="http://schemas.openxmlformats.org/drawingml/2006/spreadsheetDrawing" xmlns:a="http://schemas.openxmlformats.org/drawingml/2006/main">
  <xdr:oneCellAnchor>
    <xdr:from>
      <xdr:col>9</xdr:col>
      <xdr:colOff>47626</xdr:colOff>
      <xdr:row>0</xdr:row>
      <xdr:rowOff>0</xdr:rowOff>
    </xdr:from>
    <xdr:ext cx="6086474" cy="952500"/>
    <xdr:sp macro="" textlink="">
      <xdr:nvSpPr>
        <xdr:cNvPr id="2" name="Rectangle 1">
          <a:extLst>
            <a:ext uri="{FF2B5EF4-FFF2-40B4-BE49-F238E27FC236}">
              <a16:creationId xmlns:a16="http://schemas.microsoft.com/office/drawing/2014/main" id="{00000000-0008-0000-1100-000002000000}"/>
            </a:ext>
          </a:extLst>
        </xdr:cNvPr>
        <xdr:cNvSpPr/>
      </xdr:nvSpPr>
      <xdr:spPr>
        <a:xfrm>
          <a:off x="5534026" y="0"/>
          <a:ext cx="6086474" cy="952500"/>
        </a:xfrm>
        <a:prstGeom prst="rect">
          <a:avLst/>
        </a:prstGeom>
        <a:solidFill>
          <a:schemeClr val="accent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none" lIns="91440" tIns="45720" rIns="91440" bIns="45720">
          <a:noAutofit/>
        </a:bodyPr>
        <a:lstStyle/>
        <a:p>
          <a:pPr algn="ctr"/>
          <a:r>
            <a:rPr lang="en-US" sz="5400" b="0" cap="none" spc="0">
              <a:ln w="0"/>
              <a:solidFill>
                <a:schemeClr val="tx1"/>
              </a:solidFill>
              <a:effectLst>
                <a:outerShdw blurRad="50800" dist="38100" algn="l" rotWithShape="0">
                  <a:prstClr val="black">
                    <a:alpha val="40000"/>
                  </a:prstClr>
                </a:outerShdw>
              </a:effectLst>
            </a:rPr>
            <a:t>TEXT</a:t>
          </a:r>
          <a:r>
            <a:rPr lang="en-US" sz="5400" b="0" cap="none" spc="0" baseline="0">
              <a:ln w="0"/>
              <a:solidFill>
                <a:schemeClr val="tx1"/>
              </a:solidFill>
              <a:effectLst>
                <a:outerShdw blurRad="50800" dist="38100" algn="l" rotWithShape="0">
                  <a:prstClr val="black">
                    <a:alpha val="40000"/>
                  </a:prstClr>
                </a:outerShdw>
              </a:effectLst>
            </a:rPr>
            <a:t> SEPERATION</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17.xml><?xml version="1.0" encoding="utf-8"?>
<xdr:wsDr xmlns:xdr="http://schemas.openxmlformats.org/drawingml/2006/spreadsheetDrawing" xmlns:a="http://schemas.openxmlformats.org/drawingml/2006/main">
  <xdr:oneCellAnchor>
    <xdr:from>
      <xdr:col>8</xdr:col>
      <xdr:colOff>170368</xdr:colOff>
      <xdr:row>0</xdr:row>
      <xdr:rowOff>0</xdr:rowOff>
    </xdr:from>
    <xdr:ext cx="5259966" cy="937629"/>
    <xdr:sp macro="" textlink="">
      <xdr:nvSpPr>
        <xdr:cNvPr id="2" name="Rectangle 1">
          <a:extLst>
            <a:ext uri="{FF2B5EF4-FFF2-40B4-BE49-F238E27FC236}">
              <a16:creationId xmlns:a16="http://schemas.microsoft.com/office/drawing/2014/main" id="{00000000-0008-0000-1200-000002000000}"/>
            </a:ext>
          </a:extLst>
        </xdr:cNvPr>
        <xdr:cNvSpPr/>
      </xdr:nvSpPr>
      <xdr:spPr>
        <a:xfrm>
          <a:off x="5047168" y="0"/>
          <a:ext cx="5259966" cy="937629"/>
        </a:xfrm>
        <a:prstGeom prst="rect">
          <a:avLst/>
        </a:prstGeom>
        <a:solidFill>
          <a:schemeClr val="accent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ross"/>
          <a:contourClr>
            <a:srgbClr val="FFFFFF"/>
          </a:contourClr>
        </a:sp3d>
      </xdr:spPr>
      <xdr:txBody>
        <a:bodyPr wrap="none" lIns="91440" tIns="45720" rIns="91440" bIns="45720">
          <a:spAutoFit/>
        </a:bodyPr>
        <a:lstStyle/>
        <a:p>
          <a:pPr algn="ctr"/>
          <a:r>
            <a:rPr lang="en-US" sz="5400" b="0" cap="none" spc="0">
              <a:ln w="0"/>
              <a:solidFill>
                <a:schemeClr val="tx1"/>
              </a:solidFill>
              <a:effectLst>
                <a:outerShdw blurRad="50800" dist="38100" algn="l" rotWithShape="0">
                  <a:prstClr val="black">
                    <a:alpha val="40000"/>
                  </a:prstClr>
                </a:outerShdw>
              </a:effectLst>
            </a:rPr>
            <a:t>TEXT</a:t>
          </a:r>
          <a:r>
            <a:rPr lang="en-US" sz="5400" b="0" cap="none" spc="0" baseline="0">
              <a:ln w="0"/>
              <a:solidFill>
                <a:schemeClr val="tx1"/>
              </a:solidFill>
              <a:effectLst>
                <a:outerShdw blurRad="50800" dist="38100" algn="l" rotWithShape="0">
                  <a:prstClr val="black">
                    <a:alpha val="40000"/>
                  </a:prstClr>
                </a:outerShdw>
              </a:effectLst>
            </a:rPr>
            <a:t> SEPERATION</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18.xml><?xml version="1.0" encoding="utf-8"?>
<xdr:wsDr xmlns:xdr="http://schemas.openxmlformats.org/drawingml/2006/spreadsheetDrawing" xmlns:a="http://schemas.openxmlformats.org/drawingml/2006/main">
  <xdr:oneCellAnchor>
    <xdr:from>
      <xdr:col>9</xdr:col>
      <xdr:colOff>9525</xdr:colOff>
      <xdr:row>0</xdr:row>
      <xdr:rowOff>9526</xdr:rowOff>
    </xdr:from>
    <xdr:ext cx="5486400" cy="962024"/>
    <xdr:sp macro="" textlink="">
      <xdr:nvSpPr>
        <xdr:cNvPr id="2" name="Rectangle 1">
          <a:extLst>
            <a:ext uri="{FF2B5EF4-FFF2-40B4-BE49-F238E27FC236}">
              <a16:creationId xmlns:a16="http://schemas.microsoft.com/office/drawing/2014/main" id="{00000000-0008-0000-1300-000002000000}"/>
            </a:ext>
          </a:extLst>
        </xdr:cNvPr>
        <xdr:cNvSpPr/>
      </xdr:nvSpPr>
      <xdr:spPr>
        <a:xfrm>
          <a:off x="5495925" y="9526"/>
          <a:ext cx="5486400" cy="962024"/>
        </a:xfrm>
        <a:prstGeom prst="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square" lIns="91440" tIns="45720" rIns="91440" bIns="45720">
          <a:no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VLOOKUP</a:t>
          </a:r>
          <a:r>
            <a:rPr lang="en-US" sz="5400" b="0" cap="none" spc="0" baseline="0">
              <a:ln w="0"/>
              <a:solidFill>
                <a:schemeClr val="tx1"/>
              </a:solidFill>
              <a:effectLst>
                <a:outerShdw blurRad="38100" dist="19050" dir="2700000" algn="tl" rotWithShape="0">
                  <a:schemeClr val="dk1">
                    <a:alpha val="40000"/>
                  </a:schemeClr>
                </a:outerShdw>
              </a:effectLst>
            </a:rPr>
            <a:t> IFERROR</a:t>
          </a:r>
          <a:endParaRPr lang="en-US" sz="54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19.xml><?xml version="1.0" encoding="utf-8"?>
<xdr:wsDr xmlns:xdr="http://schemas.openxmlformats.org/drawingml/2006/spreadsheetDrawing" xmlns:a="http://schemas.openxmlformats.org/drawingml/2006/main">
  <xdr:oneCellAnchor>
    <xdr:from>
      <xdr:col>7</xdr:col>
      <xdr:colOff>600075</xdr:colOff>
      <xdr:row>0</xdr:row>
      <xdr:rowOff>1</xdr:rowOff>
    </xdr:from>
    <xdr:ext cx="6095999" cy="952499"/>
    <xdr:sp macro="" textlink="">
      <xdr:nvSpPr>
        <xdr:cNvPr id="2" name="Rectangle 1">
          <a:extLst>
            <a:ext uri="{FF2B5EF4-FFF2-40B4-BE49-F238E27FC236}">
              <a16:creationId xmlns:a16="http://schemas.microsoft.com/office/drawing/2014/main" id="{00000000-0008-0000-1400-000002000000}"/>
            </a:ext>
          </a:extLst>
        </xdr:cNvPr>
        <xdr:cNvSpPr/>
      </xdr:nvSpPr>
      <xdr:spPr>
        <a:xfrm>
          <a:off x="4867275" y="1"/>
          <a:ext cx="6095999" cy="952499"/>
        </a:xfrm>
        <a:prstGeom prst="rect">
          <a:avLst/>
        </a:prstGeom>
        <a:solidFill>
          <a:schemeClr val="accent6">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softRound"/>
          <a:contourClr>
            <a:srgbClr val="FFFFFF"/>
          </a:contourClr>
        </a:sp3d>
      </xdr:spPr>
      <xdr:txBody>
        <a:bodyPr wrap="none" lIns="91440" tIns="45720" rIns="91440" bIns="45720">
          <a:noAutofit/>
        </a:bodyPr>
        <a:lstStyle/>
        <a:p>
          <a:pPr algn="ctr"/>
          <a:r>
            <a:rPr lang="en-US" sz="5400" b="0" cap="none" spc="0">
              <a:ln w="0"/>
              <a:solidFill>
                <a:schemeClr val="tx1"/>
              </a:solidFill>
              <a:effectLst>
                <a:outerShdw blurRad="50800" dist="38100" algn="l" rotWithShape="0">
                  <a:prstClr val="black">
                    <a:alpha val="40000"/>
                  </a:prstClr>
                </a:outerShdw>
              </a:effectLst>
            </a:rPr>
            <a:t>LOGICAL</a:t>
          </a:r>
          <a:r>
            <a:rPr lang="en-US" sz="5400" b="0" cap="none" spc="0" baseline="0">
              <a:ln w="0"/>
              <a:solidFill>
                <a:schemeClr val="tx1"/>
              </a:solidFill>
              <a:effectLst>
                <a:outerShdw blurRad="50800" dist="38100" algn="l" rotWithShape="0">
                  <a:prstClr val="black">
                    <a:alpha val="40000"/>
                  </a:prstClr>
                </a:outerShdw>
              </a:effectLst>
            </a:rPr>
            <a:t> FORMULA</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20.xml><?xml version="1.0" encoding="utf-8"?>
<xdr:wsDr xmlns:xdr="http://schemas.openxmlformats.org/drawingml/2006/spreadsheetDrawing" xmlns:a="http://schemas.openxmlformats.org/drawingml/2006/main">
  <xdr:oneCellAnchor>
    <xdr:from>
      <xdr:col>8</xdr:col>
      <xdr:colOff>9525</xdr:colOff>
      <xdr:row>0</xdr:row>
      <xdr:rowOff>0</xdr:rowOff>
    </xdr:from>
    <xdr:ext cx="6076950" cy="952500"/>
    <xdr:sp macro="" textlink="">
      <xdr:nvSpPr>
        <xdr:cNvPr id="2" name="Rectangle 1">
          <a:extLst>
            <a:ext uri="{FF2B5EF4-FFF2-40B4-BE49-F238E27FC236}">
              <a16:creationId xmlns:a16="http://schemas.microsoft.com/office/drawing/2014/main" id="{00000000-0008-0000-1500-000002000000}"/>
            </a:ext>
          </a:extLst>
        </xdr:cNvPr>
        <xdr:cNvSpPr/>
      </xdr:nvSpPr>
      <xdr:spPr>
        <a:xfrm>
          <a:off x="6724650" y="0"/>
          <a:ext cx="6076950" cy="952500"/>
        </a:xfrm>
        <a:prstGeom prst="rect">
          <a:avLst/>
        </a:prstGeom>
        <a:solidFill>
          <a:schemeClr val="accent1">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convex"/>
          <a:contourClr>
            <a:srgbClr val="FFFFFF"/>
          </a:contourClr>
        </a:sp3d>
      </xdr:spPr>
      <xdr:txBody>
        <a:bodyPr wrap="none" lIns="91440" tIns="45720" rIns="91440" bIns="45720">
          <a:no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PIVOT</a:t>
          </a:r>
          <a:r>
            <a:rPr lang="en-US" sz="5400" b="0" cap="none" spc="0" baseline="0">
              <a:ln w="0"/>
              <a:solidFill>
                <a:schemeClr val="tx1"/>
              </a:solidFill>
              <a:effectLst>
                <a:outerShdw blurRad="38100" dist="19050" dir="2700000" algn="tl" rotWithShape="0">
                  <a:schemeClr val="dk1">
                    <a:alpha val="40000"/>
                  </a:schemeClr>
                </a:outerShdw>
              </a:effectLst>
            </a:rPr>
            <a:t> TABLE</a:t>
          </a:r>
          <a:endParaRPr lang="en-US" sz="54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21.xml><?xml version="1.0" encoding="utf-8"?>
<xdr:wsDr xmlns:xdr="http://schemas.openxmlformats.org/drawingml/2006/spreadsheetDrawing" xmlns:a="http://schemas.openxmlformats.org/drawingml/2006/main">
  <xdr:twoCellAnchor>
    <xdr:from>
      <xdr:col>3</xdr:col>
      <xdr:colOff>9525</xdr:colOff>
      <xdr:row>11</xdr:row>
      <xdr:rowOff>180975</xdr:rowOff>
    </xdr:from>
    <xdr:to>
      <xdr:col>11</xdr:col>
      <xdr:colOff>600075</xdr:colOff>
      <xdr:row>27</xdr:row>
      <xdr:rowOff>180975</xdr:rowOff>
    </xdr:to>
    <xdr:graphicFrame macro="">
      <xdr:nvGraphicFramePr>
        <xdr:cNvPr id="2" name="Chart 1">
          <a:extLst>
            <a:ext uri="{FF2B5EF4-FFF2-40B4-BE49-F238E27FC236}">
              <a16:creationId xmlns:a16="http://schemas.microsoft.com/office/drawing/2014/main" id="{00000000-0008-0000-1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6</xdr:col>
      <xdr:colOff>28575</xdr:colOff>
      <xdr:row>0</xdr:row>
      <xdr:rowOff>0</xdr:rowOff>
    </xdr:from>
    <xdr:ext cx="4867275" cy="952500"/>
    <xdr:sp macro="" textlink="">
      <xdr:nvSpPr>
        <xdr:cNvPr id="3" name="Rectangle 2">
          <a:extLst>
            <a:ext uri="{FF2B5EF4-FFF2-40B4-BE49-F238E27FC236}">
              <a16:creationId xmlns:a16="http://schemas.microsoft.com/office/drawing/2014/main" id="{00000000-0008-0000-1A00-000003000000}"/>
            </a:ext>
          </a:extLst>
        </xdr:cNvPr>
        <xdr:cNvSpPr/>
      </xdr:nvSpPr>
      <xdr:spPr>
        <a:xfrm>
          <a:off x="5343525" y="0"/>
          <a:ext cx="4867275" cy="952500"/>
        </a:xfrm>
        <a:prstGeom prst="rect">
          <a:avLst/>
        </a:prstGeom>
        <a:solidFill>
          <a:srgbClr val="00B0F0"/>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txBody>
        <a:bodyPr wrap="square" lIns="91440" tIns="45720" rIns="91440" bIns="45720">
          <a:noAutofit/>
        </a:bodyPr>
        <a:lstStyle/>
        <a:p>
          <a:pPr algn="ctr"/>
          <a:r>
            <a:rPr lang="en-US" sz="5400" b="0" cap="none" spc="0">
              <a:ln w="0"/>
              <a:solidFill>
                <a:schemeClr val="tx1"/>
              </a:solidFill>
              <a:effectLst>
                <a:outerShdw blurRad="50800" dist="38100" algn="l" rotWithShape="0">
                  <a:prstClr val="black">
                    <a:alpha val="40000"/>
                  </a:prstClr>
                </a:outerShdw>
              </a:effectLst>
            </a:rPr>
            <a:t>PIVOT</a:t>
          </a:r>
          <a:r>
            <a:rPr lang="en-US" sz="5400" b="0" cap="none" spc="0" baseline="0">
              <a:ln w="0"/>
              <a:solidFill>
                <a:schemeClr val="tx1"/>
              </a:solidFill>
              <a:effectLst>
                <a:outerShdw blurRad="50800" dist="38100" algn="l" rotWithShape="0">
                  <a:prstClr val="black">
                    <a:alpha val="40000"/>
                  </a:prstClr>
                </a:outerShdw>
              </a:effectLst>
            </a:rPr>
            <a:t> CHART</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22.xml><?xml version="1.0" encoding="utf-8"?>
<xdr:wsDr xmlns:xdr="http://schemas.openxmlformats.org/drawingml/2006/spreadsheetDrawing" xmlns:a="http://schemas.openxmlformats.org/drawingml/2006/main">
  <xdr:twoCellAnchor editAs="oneCell">
    <xdr:from>
      <xdr:col>5</xdr:col>
      <xdr:colOff>0</xdr:colOff>
      <xdr:row>4</xdr:row>
      <xdr:rowOff>161925</xdr:rowOff>
    </xdr:from>
    <xdr:to>
      <xdr:col>7</xdr:col>
      <xdr:colOff>609600</xdr:colOff>
      <xdr:row>18</xdr:row>
      <xdr:rowOff>19050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00000000-0008-0000-1B00-000002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114800" y="923925"/>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676275</xdr:colOff>
      <xdr:row>4</xdr:row>
      <xdr:rowOff>171450</xdr:rowOff>
    </xdr:from>
    <xdr:to>
      <xdr:col>9</xdr:col>
      <xdr:colOff>304800</xdr:colOff>
      <xdr:row>18</xdr:row>
      <xdr:rowOff>28575</xdr:rowOff>
    </xdr:to>
    <mc:AlternateContent xmlns:mc="http://schemas.openxmlformats.org/markup-compatibility/2006" xmlns:a14="http://schemas.microsoft.com/office/drawing/2010/main">
      <mc:Choice Requires="a14">
        <xdr:graphicFrame macro="">
          <xdr:nvGraphicFramePr>
            <xdr:cNvPr id="3" name="DATE">
              <a:extLst>
                <a:ext uri="{FF2B5EF4-FFF2-40B4-BE49-F238E27FC236}">
                  <a16:creationId xmlns:a16="http://schemas.microsoft.com/office/drawing/2014/main" id="{00000000-0008-0000-1B00-000003000000}"/>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010275" y="9334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409575</xdr:colOff>
      <xdr:row>4</xdr:row>
      <xdr:rowOff>171450</xdr:rowOff>
    </xdr:from>
    <xdr:to>
      <xdr:col>12</xdr:col>
      <xdr:colOff>409575</xdr:colOff>
      <xdr:row>18</xdr:row>
      <xdr:rowOff>28575</xdr:rowOff>
    </xdr:to>
    <mc:AlternateContent xmlns:mc="http://schemas.openxmlformats.org/markup-compatibility/2006" xmlns:a14="http://schemas.microsoft.com/office/drawing/2010/main">
      <mc:Choice Requires="a14">
        <xdr:graphicFrame macro="">
          <xdr:nvGraphicFramePr>
            <xdr:cNvPr id="4" name="ITEM">
              <a:extLst>
                <a:ext uri="{FF2B5EF4-FFF2-40B4-BE49-F238E27FC236}">
                  <a16:creationId xmlns:a16="http://schemas.microsoft.com/office/drawing/2014/main" id="{00000000-0008-0000-1B00-000004000000}"/>
                </a:ext>
              </a:extLst>
            </xdr:cNvPr>
            <xdr:cNvGraphicFramePr/>
          </xdr:nvGraphicFramePr>
          <xdr:xfrm>
            <a:off x="0" y="0"/>
            <a:ext cx="0" cy="0"/>
          </xdr:xfrm>
          <a:graphic>
            <a:graphicData uri="http://schemas.microsoft.com/office/drawing/2010/slicer">
              <sle:slicer xmlns:sle="http://schemas.microsoft.com/office/drawing/2010/slicer" name="ITEM"/>
            </a:graphicData>
          </a:graphic>
        </xdr:graphicFrame>
      </mc:Choice>
      <mc:Fallback xmlns="">
        <xdr:sp macro="" textlink="">
          <xdr:nvSpPr>
            <xdr:cNvPr id="0" name=""/>
            <xdr:cNvSpPr>
              <a:spLocks noTextEdit="1"/>
            </xdr:cNvSpPr>
          </xdr:nvSpPr>
          <xdr:spPr>
            <a:xfrm>
              <a:off x="7943850" y="9334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485775</xdr:colOff>
      <xdr:row>4</xdr:row>
      <xdr:rowOff>180975</xdr:rowOff>
    </xdr:from>
    <xdr:to>
      <xdr:col>15</xdr:col>
      <xdr:colOff>485775</xdr:colOff>
      <xdr:row>18</xdr:row>
      <xdr:rowOff>38100</xdr:rowOff>
    </xdr:to>
    <mc:AlternateContent xmlns:mc="http://schemas.openxmlformats.org/markup-compatibility/2006" xmlns:a14="http://schemas.microsoft.com/office/drawing/2010/main">
      <mc:Choice Requires="a14">
        <xdr:graphicFrame macro="">
          <xdr:nvGraphicFramePr>
            <xdr:cNvPr id="5" name="AGE">
              <a:extLst>
                <a:ext uri="{FF2B5EF4-FFF2-40B4-BE49-F238E27FC236}">
                  <a16:creationId xmlns:a16="http://schemas.microsoft.com/office/drawing/2014/main" id="{00000000-0008-0000-1B00-000005000000}"/>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9848850" y="942975"/>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600075</xdr:colOff>
      <xdr:row>26</xdr:row>
      <xdr:rowOff>152400</xdr:rowOff>
    </xdr:from>
    <xdr:to>
      <xdr:col>9</xdr:col>
      <xdr:colOff>514350</xdr:colOff>
      <xdr:row>34</xdr:row>
      <xdr:rowOff>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00000000-0008-0000-1B00-000006000000}"/>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4714875" y="5105400"/>
              <a:ext cx="3333750" cy="13716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drawings/drawing23.xml><?xml version="1.0" encoding="utf-8"?>
<xdr:wsDr xmlns:xdr="http://schemas.openxmlformats.org/drawingml/2006/spreadsheetDrawing" xmlns:a="http://schemas.openxmlformats.org/drawingml/2006/main">
  <xdr:oneCellAnchor>
    <xdr:from>
      <xdr:col>3</xdr:col>
      <xdr:colOff>590549</xdr:colOff>
      <xdr:row>0</xdr:row>
      <xdr:rowOff>9526</xdr:rowOff>
    </xdr:from>
    <xdr:ext cx="10391775" cy="952500"/>
    <xdr:sp macro="" textlink="">
      <xdr:nvSpPr>
        <xdr:cNvPr id="2" name="Rectangle 1">
          <a:extLst>
            <a:ext uri="{FF2B5EF4-FFF2-40B4-BE49-F238E27FC236}">
              <a16:creationId xmlns:a16="http://schemas.microsoft.com/office/drawing/2014/main" id="{00000000-0008-0000-1C00-000002000000}"/>
            </a:ext>
          </a:extLst>
        </xdr:cNvPr>
        <xdr:cNvSpPr/>
      </xdr:nvSpPr>
      <xdr:spPr>
        <a:xfrm>
          <a:off x="2419349" y="9526"/>
          <a:ext cx="10391775" cy="952500"/>
        </a:xfrm>
        <a:prstGeom prst="rect">
          <a:avLst/>
        </a:prstGeom>
        <a:solidFill>
          <a:srgbClr val="92D050"/>
        </a:solidFill>
        <a:ln>
          <a:noFill/>
        </a:ln>
        <a:effectLst/>
        <a:scene3d>
          <a:camera prst="orthographicFront"/>
          <a:lightRig rig="threePt" dir="t"/>
        </a:scene3d>
        <a:sp3d>
          <a:bevelT prst="convex"/>
        </a:sp3d>
      </xdr:spPr>
      <xdr:txBody>
        <a:bodyPr wrap="none" lIns="91440" tIns="45720" rIns="91440" bIns="45720">
          <a:noAutofit/>
        </a:bodyPr>
        <a:lstStyle/>
        <a:p>
          <a:pPr algn="ctr"/>
          <a:r>
            <a:rPr lang="en-US" sz="5400" b="0" cap="none" spc="0">
              <a:ln w="0"/>
              <a:solidFill>
                <a:schemeClr val="tx1"/>
              </a:solidFill>
              <a:effectLst>
                <a:outerShdw blurRad="50800" dist="38100" algn="l" rotWithShape="0">
                  <a:prstClr val="black">
                    <a:alpha val="40000"/>
                  </a:prstClr>
                </a:outerShdw>
              </a:effectLst>
            </a:rPr>
            <a:t>ATTENDENCE</a:t>
          </a:r>
          <a:r>
            <a:rPr lang="en-US" sz="5400" b="0" cap="none" spc="0" baseline="0">
              <a:ln w="0"/>
              <a:solidFill>
                <a:schemeClr val="tx1"/>
              </a:solidFill>
              <a:effectLst>
                <a:outerShdw blurRad="50800" dist="38100" algn="l" rotWithShape="0">
                  <a:prstClr val="black">
                    <a:alpha val="40000"/>
                  </a:prstClr>
                </a:outerShdw>
              </a:effectLst>
            </a:rPr>
            <a:t> SHEET OF JANUARY</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24.xml><?xml version="1.0" encoding="utf-8"?>
<xdr:wsDr xmlns:xdr="http://schemas.openxmlformats.org/drawingml/2006/spreadsheetDrawing" xmlns:a="http://schemas.openxmlformats.org/drawingml/2006/main">
  <xdr:oneCellAnchor>
    <xdr:from>
      <xdr:col>4</xdr:col>
      <xdr:colOff>990600</xdr:colOff>
      <xdr:row>0</xdr:row>
      <xdr:rowOff>0</xdr:rowOff>
    </xdr:from>
    <xdr:ext cx="5467350" cy="949827"/>
    <xdr:sp macro="" textlink="">
      <xdr:nvSpPr>
        <xdr:cNvPr id="2" name="Rectangle 1">
          <a:extLst>
            <a:ext uri="{FF2B5EF4-FFF2-40B4-BE49-F238E27FC236}">
              <a16:creationId xmlns:a16="http://schemas.microsoft.com/office/drawing/2014/main" id="{00000000-0008-0000-1D00-000002000000}"/>
            </a:ext>
          </a:extLst>
        </xdr:cNvPr>
        <xdr:cNvSpPr/>
      </xdr:nvSpPr>
      <xdr:spPr>
        <a:xfrm>
          <a:off x="4610100" y="0"/>
          <a:ext cx="5467350" cy="949827"/>
        </a:xfrm>
        <a:prstGeom prst="rect">
          <a:avLst/>
        </a:prstGeom>
        <a:solidFill>
          <a:schemeClr val="accent6">
            <a:lumMod val="60000"/>
            <a:lumOff val="40000"/>
          </a:schemeClr>
        </a:solidFill>
        <a:ln>
          <a:noFill/>
        </a:ln>
        <a:effectLst/>
        <a:scene3d>
          <a:camera prst="orthographicFront"/>
          <a:lightRig rig="threePt" dir="t"/>
        </a:scene3d>
        <a:sp3d>
          <a:bevelT prst="convex"/>
        </a:sp3d>
      </xdr:spPr>
      <xdr:txBody>
        <a:bodyPr wrap="square" lIns="91440" tIns="45720" rIns="91440" bIns="45720">
          <a:noAutofit/>
        </a:bodyPr>
        <a:lstStyle/>
        <a:p>
          <a:pPr algn="ctr"/>
          <a:r>
            <a:rPr lang="en-US" sz="5400" b="0" cap="none" spc="0">
              <a:ln w="0"/>
              <a:solidFill>
                <a:schemeClr val="tx1"/>
              </a:solidFill>
              <a:effectLst>
                <a:outerShdw blurRad="50800" dist="38100" algn="l" rotWithShape="0">
                  <a:prstClr val="black">
                    <a:alpha val="40000"/>
                  </a:prstClr>
                </a:outerShdw>
              </a:effectLst>
            </a:rPr>
            <a:t>SALARY</a:t>
          </a:r>
          <a:r>
            <a:rPr lang="en-US" sz="5400" b="0" cap="none" spc="0" baseline="0">
              <a:ln w="0"/>
              <a:solidFill>
                <a:schemeClr val="tx1"/>
              </a:solidFill>
              <a:effectLst>
                <a:outerShdw blurRad="50800" dist="38100" algn="l" rotWithShape="0">
                  <a:prstClr val="black">
                    <a:alpha val="40000"/>
                  </a:prstClr>
                </a:outerShdw>
              </a:effectLst>
            </a:rPr>
            <a:t> SHEET</a:t>
          </a:r>
          <a:endParaRPr lang="en-US" sz="5400" b="0" cap="none" spc="0">
            <a:ln w="0"/>
            <a:solidFill>
              <a:schemeClr val="tx1"/>
            </a:solidFill>
            <a:effectLst>
              <a:outerShdw blurRad="50800" dist="38100" algn="l" rotWithShape="0">
                <a:prstClr val="black">
                  <a:alpha val="40000"/>
                </a:prstClr>
              </a:outerShdw>
            </a:effectLst>
          </a:endParaRPr>
        </a:p>
      </xdr:txBody>
    </xdr:sp>
    <xdr:clientData/>
  </xdr:oneCellAnchor>
</xdr:wsDr>
</file>

<file path=xl/drawings/drawing25.xml><?xml version="1.0" encoding="utf-8"?>
<xdr:wsDr xmlns:xdr="http://schemas.openxmlformats.org/drawingml/2006/spreadsheetDrawing" xmlns:a="http://schemas.openxmlformats.org/drawingml/2006/main">
  <xdr:oneCellAnchor>
    <xdr:from>
      <xdr:col>6</xdr:col>
      <xdr:colOff>1114426</xdr:colOff>
      <xdr:row>0</xdr:row>
      <xdr:rowOff>0</xdr:rowOff>
    </xdr:from>
    <xdr:ext cx="5505450" cy="937629"/>
    <xdr:sp macro="" textlink="">
      <xdr:nvSpPr>
        <xdr:cNvPr id="2" name="Rectangle 1">
          <a:extLst>
            <a:ext uri="{FF2B5EF4-FFF2-40B4-BE49-F238E27FC236}">
              <a16:creationId xmlns:a16="http://schemas.microsoft.com/office/drawing/2014/main" id="{00000000-0008-0000-1E00-000002000000}"/>
            </a:ext>
          </a:extLst>
        </xdr:cNvPr>
        <xdr:cNvSpPr/>
      </xdr:nvSpPr>
      <xdr:spPr>
        <a:xfrm>
          <a:off x="6181726" y="0"/>
          <a:ext cx="5505450" cy="937629"/>
        </a:xfrm>
        <a:prstGeom prst="rect">
          <a:avLst/>
        </a:prstGeom>
        <a:solidFill>
          <a:srgbClr val="FF0066"/>
        </a:solidFill>
        <a:scene3d>
          <a:camera prst="orthographicFront"/>
          <a:lightRig rig="threePt" dir="t"/>
        </a:scene3d>
        <a:sp3d>
          <a:bevelT prst="convex"/>
        </a:sp3d>
      </xdr:spPr>
      <xdr:txBody>
        <a:bodyPr wrap="square" lIns="91440" tIns="45720" rIns="91440" bIns="45720">
          <a:spAutoFit/>
          <a:sp3d extrusionH="57150">
            <a:bevelT w="38100" h="38100" prst="convex"/>
          </a:sp3d>
        </a:bodyPr>
        <a:lstStyle/>
        <a:p>
          <a:pPr algn="ctr"/>
          <a:r>
            <a:rPr lang="en-US" sz="5400" b="0" cap="none" spc="0">
              <a:ln w="0"/>
              <a:solidFill>
                <a:schemeClr val="tx1"/>
              </a:solidFill>
              <a:effectLst>
                <a:outerShdw blurRad="38100" dist="19050" dir="2700000" algn="tl" rotWithShape="0">
                  <a:schemeClr val="dk1">
                    <a:alpha val="40000"/>
                  </a:schemeClr>
                </a:outerShdw>
              </a:effectLst>
            </a:rPr>
            <a:t>BASIC</a:t>
          </a:r>
          <a:r>
            <a:rPr lang="en-US" sz="5400" b="0" cap="none" spc="0" baseline="0">
              <a:ln w="0"/>
              <a:solidFill>
                <a:schemeClr val="bg1"/>
              </a:solidFill>
              <a:effectLst>
                <a:outerShdw blurRad="38100" dist="19050" dir="2700000" algn="tl" rotWithShape="0">
                  <a:schemeClr val="dk1">
                    <a:alpha val="40000"/>
                  </a:schemeClr>
                </a:outerShdw>
              </a:effectLst>
            </a:rPr>
            <a:t> </a:t>
          </a:r>
          <a:r>
            <a:rPr lang="en-US" sz="5400" b="0" cap="none" spc="0" baseline="0">
              <a:ln w="0"/>
              <a:solidFill>
                <a:schemeClr val="tx1"/>
              </a:solidFill>
              <a:effectLst>
                <a:outerShdw blurRad="38100" dist="19050" dir="2700000" algn="tl" rotWithShape="0">
                  <a:schemeClr val="dk1">
                    <a:alpha val="40000"/>
                  </a:schemeClr>
                </a:outerShdw>
              </a:effectLst>
            </a:rPr>
            <a:t>FORMULA</a:t>
          </a:r>
          <a:endParaRPr lang="en-US" sz="54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26.xml><?xml version="1.0" encoding="utf-8"?>
<xdr:wsDr xmlns:xdr="http://schemas.openxmlformats.org/drawingml/2006/spreadsheetDrawing" xmlns:a="http://schemas.openxmlformats.org/drawingml/2006/main">
  <xdr:oneCellAnchor>
    <xdr:from>
      <xdr:col>9</xdr:col>
      <xdr:colOff>398229</xdr:colOff>
      <xdr:row>0</xdr:row>
      <xdr:rowOff>0</xdr:rowOff>
    </xdr:from>
    <xdr:ext cx="4861395" cy="781050"/>
    <xdr:sp macro="" textlink="">
      <xdr:nvSpPr>
        <xdr:cNvPr id="2" name="Rectangle 1">
          <a:extLst>
            <a:ext uri="{FF2B5EF4-FFF2-40B4-BE49-F238E27FC236}">
              <a16:creationId xmlns:a16="http://schemas.microsoft.com/office/drawing/2014/main" id="{00000000-0008-0000-1F00-000002000000}"/>
            </a:ext>
          </a:extLst>
        </xdr:cNvPr>
        <xdr:cNvSpPr/>
      </xdr:nvSpPr>
      <xdr:spPr>
        <a:xfrm>
          <a:off x="5884629" y="0"/>
          <a:ext cx="4861395" cy="781050"/>
        </a:xfrm>
        <a:prstGeom prst="rect">
          <a:avLst/>
        </a:prstGeom>
        <a:solidFill>
          <a:srgbClr val="FF0066"/>
        </a:solidFill>
        <a:scene3d>
          <a:camera prst="orthographicFront"/>
          <a:lightRig rig="threePt" dir="t"/>
        </a:scene3d>
        <a:sp3d>
          <a:bevelT prst="convex"/>
        </a:sp3d>
      </xdr:spPr>
      <xdr:txBody>
        <a:bodyPr wrap="none" lIns="91440" tIns="45720" rIns="91440" bIns="45720">
          <a:noAutofit/>
        </a:bodyPr>
        <a:lstStyle/>
        <a:p>
          <a:pPr algn="ctr"/>
          <a:r>
            <a:rPr lang="en-US" sz="4800" b="0" cap="none" spc="0">
              <a:ln w="0"/>
              <a:solidFill>
                <a:schemeClr val="tx1"/>
              </a:solidFill>
              <a:effectLst>
                <a:outerShdw blurRad="38100" dist="19050" dir="2700000" algn="tl" rotWithShape="0">
                  <a:schemeClr val="dk1">
                    <a:alpha val="40000"/>
                  </a:schemeClr>
                </a:outerShdw>
              </a:effectLst>
            </a:rPr>
            <a:t>BASIC</a:t>
          </a:r>
          <a:r>
            <a:rPr lang="en-US" sz="4800" b="0" cap="none" spc="0" baseline="0">
              <a:ln w="0"/>
              <a:solidFill>
                <a:schemeClr val="tx1"/>
              </a:solidFill>
              <a:effectLst>
                <a:outerShdw blurRad="38100" dist="19050" dir="2700000" algn="tl" rotWithShape="0">
                  <a:schemeClr val="dk1">
                    <a:alpha val="40000"/>
                  </a:schemeClr>
                </a:outerShdw>
              </a:effectLst>
            </a:rPr>
            <a:t> FORMULA</a:t>
          </a:r>
          <a:endParaRPr lang="en-US" sz="48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27.xml><?xml version="1.0" encoding="utf-8"?>
<xdr:wsDr xmlns:xdr="http://schemas.openxmlformats.org/drawingml/2006/spreadsheetDrawing" xmlns:a="http://schemas.openxmlformats.org/drawingml/2006/main">
  <xdr:oneCellAnchor>
    <xdr:from>
      <xdr:col>8</xdr:col>
      <xdr:colOff>176386</xdr:colOff>
      <xdr:row>0</xdr:row>
      <xdr:rowOff>2673</xdr:rowOff>
    </xdr:from>
    <xdr:ext cx="5571782" cy="843757"/>
    <xdr:sp macro="" textlink="">
      <xdr:nvSpPr>
        <xdr:cNvPr id="2" name="Rectangle 1">
          <a:extLst>
            <a:ext uri="{FF2B5EF4-FFF2-40B4-BE49-F238E27FC236}">
              <a16:creationId xmlns:a16="http://schemas.microsoft.com/office/drawing/2014/main" id="{00000000-0008-0000-2000-000002000000}"/>
            </a:ext>
          </a:extLst>
        </xdr:cNvPr>
        <xdr:cNvSpPr/>
      </xdr:nvSpPr>
      <xdr:spPr>
        <a:xfrm>
          <a:off x="5053186" y="2673"/>
          <a:ext cx="5571782" cy="843757"/>
        </a:xfrm>
        <a:prstGeom prst="rect">
          <a:avLst/>
        </a:prstGeom>
        <a:solidFill>
          <a:srgbClr val="63DEF7"/>
        </a:solidFill>
        <a:scene3d>
          <a:camera prst="orthographicFront"/>
          <a:lightRig rig="threePt" dir="t"/>
        </a:scene3d>
        <a:sp3d>
          <a:bevelT prst="convex"/>
        </a:sp3d>
      </xdr:spPr>
      <xdr:txBody>
        <a:bodyPr wrap="none" lIns="91440" tIns="45720" rIns="91440" bIns="45720">
          <a:spAutoFit/>
        </a:bodyPr>
        <a:lstStyle/>
        <a:p>
          <a:pPr algn="ctr"/>
          <a:r>
            <a:rPr lang="en-US" sz="4800" b="0" cap="none" spc="0">
              <a:ln w="0"/>
              <a:solidFill>
                <a:schemeClr val="tx1"/>
              </a:solidFill>
              <a:effectLst>
                <a:outerShdw blurRad="38100" dist="19050" dir="2700000" algn="tl" rotWithShape="0">
                  <a:schemeClr val="dk1">
                    <a:alpha val="40000"/>
                  </a:schemeClr>
                </a:outerShdw>
              </a:effectLst>
            </a:rPr>
            <a:t>FINANCIAL</a:t>
          </a:r>
          <a:r>
            <a:rPr lang="en-US" sz="4800" b="0" cap="none" spc="0" baseline="0">
              <a:ln w="0"/>
              <a:solidFill>
                <a:schemeClr val="tx1"/>
              </a:solidFill>
              <a:effectLst>
                <a:outerShdw blurRad="38100" dist="19050" dir="2700000" algn="tl" rotWithShape="0">
                  <a:schemeClr val="dk1">
                    <a:alpha val="40000"/>
                  </a:schemeClr>
                </a:outerShdw>
              </a:effectLst>
            </a:rPr>
            <a:t> FORMULA</a:t>
          </a:r>
          <a:endParaRPr lang="en-US" sz="48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28.xml><?xml version="1.0" encoding="utf-8"?>
<xdr:wsDr xmlns:xdr="http://schemas.openxmlformats.org/drawingml/2006/spreadsheetDrawing" xmlns:a="http://schemas.openxmlformats.org/drawingml/2006/main">
  <xdr:oneCellAnchor>
    <xdr:from>
      <xdr:col>6</xdr:col>
      <xdr:colOff>552450</xdr:colOff>
      <xdr:row>0</xdr:row>
      <xdr:rowOff>0</xdr:rowOff>
    </xdr:from>
    <xdr:ext cx="6219825" cy="1026027"/>
    <xdr:sp macro="" textlink="">
      <xdr:nvSpPr>
        <xdr:cNvPr id="2" name="Rectangle 1">
          <a:extLst>
            <a:ext uri="{FF2B5EF4-FFF2-40B4-BE49-F238E27FC236}">
              <a16:creationId xmlns:a16="http://schemas.microsoft.com/office/drawing/2014/main" id="{00000000-0008-0000-2100-000002000000}"/>
            </a:ext>
          </a:extLst>
        </xdr:cNvPr>
        <xdr:cNvSpPr/>
      </xdr:nvSpPr>
      <xdr:spPr>
        <a:xfrm>
          <a:off x="4210050" y="0"/>
          <a:ext cx="6219825" cy="1026027"/>
        </a:xfrm>
        <a:prstGeom prst="rect">
          <a:avLst/>
        </a:prstGeom>
        <a:solidFill>
          <a:schemeClr val="accent6">
            <a:lumMod val="40000"/>
            <a:lumOff val="60000"/>
          </a:schemeClr>
        </a:solidFill>
      </xdr:spPr>
      <xdr:txBody>
        <a:bodyPr wrap="none" lIns="91440" tIns="45720" rIns="91440" bIns="45720">
          <a:no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PER</a:t>
          </a:r>
          <a:r>
            <a:rPr lang="en-US" sz="5400" b="0" cap="none" spc="0" baseline="0">
              <a:ln w="0"/>
              <a:solidFill>
                <a:schemeClr val="tx1"/>
              </a:solidFill>
              <a:effectLst>
                <a:outerShdw blurRad="38100" dist="19050" dir="2700000" algn="tl" rotWithShape="0">
                  <a:schemeClr val="dk1">
                    <a:alpha val="40000"/>
                  </a:schemeClr>
                </a:outerShdw>
              </a:effectLst>
            </a:rPr>
            <a:t> MONTH TENURE</a:t>
          </a:r>
          <a:endParaRPr lang="en-US" sz="54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29.xml><?xml version="1.0" encoding="utf-8"?>
<xdr:wsDr xmlns:xdr="http://schemas.openxmlformats.org/drawingml/2006/spreadsheetDrawing" xmlns:a="http://schemas.openxmlformats.org/drawingml/2006/main">
  <xdr:twoCellAnchor editAs="oneCell">
    <xdr:from>
      <xdr:col>5</xdr:col>
      <xdr:colOff>428625</xdr:colOff>
      <xdr:row>38</xdr:row>
      <xdr:rowOff>101238</xdr:rowOff>
    </xdr:from>
    <xdr:to>
      <xdr:col>5</xdr:col>
      <xdr:colOff>1314450</xdr:colOff>
      <xdr:row>41</xdr:row>
      <xdr:rowOff>166694</xdr:rowOff>
    </xdr:to>
    <xdr:pic>
      <xdr:nvPicPr>
        <xdr:cNvPr id="3" name="Picture 2">
          <a:extLst>
            <a:ext uri="{FF2B5EF4-FFF2-40B4-BE49-F238E27FC236}">
              <a16:creationId xmlns:a16="http://schemas.microsoft.com/office/drawing/2014/main" id="{00000000-0008-0000-2C00-000003000000}"/>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artisticMarker/>
                  </a14:imgEffect>
                  <a14:imgEffect>
                    <a14:sharpenSoften amount="50000"/>
                  </a14:imgEffect>
                  <a14:imgEffect>
                    <a14:colorTemperature colorTemp="5900"/>
                  </a14:imgEffect>
                  <a14:imgEffect>
                    <a14:saturation sat="66000"/>
                  </a14:imgEffect>
                </a14:imgLayer>
              </a14:imgProps>
            </a:ext>
            <a:ext uri="{28A0092B-C50C-407E-A947-70E740481C1C}">
              <a14:useLocalDpi xmlns:a14="http://schemas.microsoft.com/office/drawing/2010/main" val="0"/>
            </a:ext>
          </a:extLst>
        </a:blip>
        <a:stretch>
          <a:fillRect/>
        </a:stretch>
      </xdr:blipFill>
      <xdr:spPr>
        <a:xfrm>
          <a:off x="4819650" y="7654563"/>
          <a:ext cx="885825" cy="636956"/>
        </a:xfrm>
        <a:prstGeom prst="rect">
          <a:avLst/>
        </a:prstGeom>
        <a:effectLst>
          <a:softEdge rad="63500"/>
        </a:effectLst>
      </xdr:spPr>
    </xdr:pic>
    <xdr:clientData/>
  </xdr:twoCellAnchor>
</xdr:wsDr>
</file>

<file path=xl/drawings/drawing30.xml><?xml version="1.0" encoding="utf-8"?>
<xdr:wsDr xmlns:xdr="http://schemas.openxmlformats.org/drawingml/2006/spreadsheetDrawing" xmlns:a="http://schemas.openxmlformats.org/drawingml/2006/main">
  <xdr:oneCellAnchor>
    <xdr:from>
      <xdr:col>4</xdr:col>
      <xdr:colOff>409575</xdr:colOff>
      <xdr:row>0</xdr:row>
      <xdr:rowOff>0</xdr:rowOff>
    </xdr:from>
    <xdr:ext cx="6696076" cy="942975"/>
    <xdr:sp macro="" textlink="">
      <xdr:nvSpPr>
        <xdr:cNvPr id="2" name="Rectangle 1">
          <a:extLst>
            <a:ext uri="{FF2B5EF4-FFF2-40B4-BE49-F238E27FC236}">
              <a16:creationId xmlns:a16="http://schemas.microsoft.com/office/drawing/2014/main" id="{00000000-0008-0000-2D00-000002000000}"/>
            </a:ext>
          </a:extLst>
        </xdr:cNvPr>
        <xdr:cNvSpPr/>
      </xdr:nvSpPr>
      <xdr:spPr>
        <a:xfrm>
          <a:off x="4305300" y="0"/>
          <a:ext cx="6696076" cy="942975"/>
        </a:xfrm>
        <a:prstGeom prst="rect">
          <a:avLst/>
        </a:prstGeom>
        <a:solidFill>
          <a:srgbClr val="FFFF00"/>
        </a:solidFill>
        <a:scene3d>
          <a:camera prst="orthographicFront"/>
          <a:lightRig rig="threePt" dir="t"/>
        </a:scene3d>
        <a:sp3d>
          <a:bevelT prst="convex"/>
        </a:sp3d>
      </xdr:spPr>
      <xdr:txBody>
        <a:bodyPr wrap="none" lIns="91440" tIns="45720" rIns="91440" bIns="45720">
          <a:noAutofit/>
        </a:bodyPr>
        <a:lstStyle/>
        <a:p>
          <a:pPr algn="ctr"/>
          <a:r>
            <a:rPr lang="en-US" sz="5400" b="1" cap="none" spc="0">
              <a:ln w="0"/>
              <a:solidFill>
                <a:schemeClr val="tx1"/>
              </a:solidFill>
              <a:effectLst>
                <a:outerShdw blurRad="50800" dist="38100" dir="18900000" algn="bl" rotWithShape="0">
                  <a:prstClr val="black">
                    <a:alpha val="40000"/>
                  </a:prstClr>
                </a:outerShdw>
              </a:effectLst>
            </a:rPr>
            <a:t>30</a:t>
          </a:r>
          <a:r>
            <a:rPr lang="en-US" sz="5400" b="1" cap="none" spc="0" baseline="0">
              <a:ln w="0"/>
              <a:solidFill>
                <a:schemeClr val="tx1"/>
              </a:solidFill>
              <a:effectLst>
                <a:outerShdw blurRad="50800" dist="38100" dir="18900000" algn="bl" rotWithShape="0">
                  <a:prstClr val="black">
                    <a:alpha val="40000"/>
                  </a:prstClr>
                </a:outerShdw>
              </a:effectLst>
            </a:rPr>
            <a:t> SHORTCUT KEYS</a:t>
          </a:r>
          <a:endParaRPr lang="en-US" sz="5400" b="1" cap="none" spc="0">
            <a:ln w="0"/>
            <a:solidFill>
              <a:schemeClr val="tx1"/>
            </a:solidFill>
            <a:effectLst>
              <a:outerShdw blurRad="50800" dist="38100" dir="18900000" algn="bl" rotWithShape="0">
                <a:prstClr val="black">
                  <a:alpha val="40000"/>
                </a:prstClr>
              </a:outerShdw>
            </a:effectLst>
          </a:endParaRP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655.788010300923" createdVersion="7" refreshedVersion="7" minRefreshableVersion="3" recordCount="29" xr:uid="{BA216AD3-7020-4B99-988A-518946C5995E}">
  <cacheSource type="worksheet">
    <worksheetSource ref="B8:J37" sheet="PIVOT TABLE"/>
  </cacheSource>
  <cacheFields count="13">
    <cacheField name="REGION" numFmtId="0">
      <sharedItems count="3">
        <s v="EAST"/>
        <s v="WEST"/>
        <s v="CENTRAL"/>
      </sharedItems>
    </cacheField>
    <cacheField name="DATE" numFmtId="14">
      <sharedItems containsSemiMixedTypes="0" containsNonDate="0" containsDate="1" containsString="0" minDate="2024-12-12T00:00:00" maxDate="2026-01-20T00:00:00" count="29">
        <d v="2024-12-12T00:00:00"/>
        <d v="2024-12-13T00:00:00"/>
        <d v="2024-12-14T00:00:00"/>
        <d v="2024-12-15T00:00:00"/>
        <d v="2024-12-16T00:00:00"/>
        <d v="2024-12-17T00:00:00"/>
        <d v="2024-12-18T00:00:00"/>
        <d v="2024-12-19T00:00:00"/>
        <d v="2024-12-20T00:00:00"/>
        <d v="2024-12-21T00:00:00"/>
        <d v="2025-01-01T00:00:00"/>
        <d v="2025-01-02T00:00:00"/>
        <d v="2025-01-03T00:00:00"/>
        <d v="2025-01-04T00:00:00"/>
        <d v="2025-01-05T00:00:00"/>
        <d v="2025-01-06T00:00:00"/>
        <d v="2025-01-07T00:00:00"/>
        <d v="2025-01-08T00:00:00"/>
        <d v="2025-01-09T00:00:00"/>
        <d v="2025-01-10T00:00:00"/>
        <d v="2025-01-11T00:00:00"/>
        <d v="2025-01-12T00:00:00"/>
        <d v="2025-01-13T00:00:00"/>
        <d v="2026-01-14T00:00:00"/>
        <d v="2026-01-15T00:00:00"/>
        <d v="2026-01-16T00:00:00"/>
        <d v="2026-01-17T00:00:00"/>
        <d v="2026-01-18T00:00:00"/>
        <d v="2026-01-19T00:00:00"/>
      </sharedItems>
      <fieldGroup par="10" base="1">
        <rangePr groupBy="days" startDate="2024-12-12T00:00:00" endDate="2026-01-20T00:00:00"/>
        <groupItems count="368">
          <s v="&lt;12/12/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01/2026"/>
        </groupItems>
      </fieldGroup>
    </cacheField>
    <cacheField name="ITEM" numFmtId="0">
      <sharedItems count="3">
        <s v="PEN"/>
        <s v="MARKER"/>
        <s v="BLINDER"/>
      </sharedItems>
    </cacheField>
    <cacheField name="UNITS" numFmtId="0">
      <sharedItems containsSemiMixedTypes="0" containsString="0" containsNumber="1" containsInteger="1" minValue="20" maxValue="86"/>
    </cacheField>
    <cacheField name="NAME" numFmtId="0">
      <sharedItems count="16">
        <s v="SANJANA"/>
        <s v="KOMAL"/>
        <s v="CHETNA"/>
        <s v="NATO"/>
        <s v="MOHAN"/>
        <s v="POOJA"/>
        <s v="SHANMUGHAM"/>
        <s v="RASHMI"/>
        <s v="SID"/>
        <s v="GAURAV"/>
        <s v="CHARU"/>
        <s v="YASH"/>
        <s v="JASHWANT"/>
        <s v="KARAN"/>
        <s v="PERUMAL"/>
        <s v="SHANUMGHAM" u="1"/>
      </sharedItems>
    </cacheField>
    <cacheField name="AGE" numFmtId="0">
      <sharedItems containsSemiMixedTypes="0" containsString="0" containsNumber="1" containsInteger="1" minValue="21" maxValue="80" count="25">
        <n v="64"/>
        <n v="35"/>
        <n v="37"/>
        <n v="51"/>
        <n v="25"/>
        <n v="62"/>
        <n v="66"/>
        <n v="49"/>
        <n v="36"/>
        <n v="42"/>
        <n v="38"/>
        <n v="32"/>
        <n v="52"/>
        <n v="80"/>
        <n v="55"/>
        <n v="43"/>
        <n v="21"/>
        <n v="72"/>
        <n v="26"/>
        <n v="30"/>
        <n v="68"/>
        <n v="54"/>
        <n v="48"/>
        <n v="59"/>
        <n v="45"/>
      </sharedItems>
    </cacheField>
    <cacheField name="UNIT COST" numFmtId="0">
      <sharedItems containsSemiMixedTypes="0" containsString="0" containsNumber="1" containsInteger="1" minValue="207" maxValue="877"/>
    </cacheField>
    <cacheField name="TOTAL COST" numFmtId="0">
      <sharedItems containsSemiMixedTypes="0" containsString="0" containsNumber="1" containsInteger="1" minValue="2069" maxValue="5000"/>
    </cacheField>
    <cacheField name="TOTAL SALES" numFmtId="0">
      <sharedItems containsSemiMixedTypes="0" containsString="0" containsNumber="1" containsInteger="1" minValue="2101" maxValue="8906"/>
    </cacheField>
    <cacheField name="Months" numFmtId="0" databaseField="0">
      <fieldGroup base="1">
        <rangePr groupBy="months" startDate="2024-12-12T00:00:00" endDate="2026-01-20T00:00:00"/>
        <groupItems count="14">
          <s v="&lt;12/12/2024"/>
          <s v="Jan"/>
          <s v="Feb"/>
          <s v="Mar"/>
          <s v="Apr"/>
          <s v="May"/>
          <s v="Jun"/>
          <s v="Jul"/>
          <s v="Aug"/>
          <s v="Sep"/>
          <s v="Oct"/>
          <s v="Nov"/>
          <s v="Dec"/>
          <s v="&gt;20/01/2026"/>
        </groupItems>
      </fieldGroup>
    </cacheField>
    <cacheField name="Years" numFmtId="0" databaseField="0">
      <fieldGroup base="1">
        <rangePr groupBy="years" startDate="2024-12-12T00:00:00" endDate="2026-01-20T00:00:00"/>
        <groupItems count="5">
          <s v="&lt;12/12/2024"/>
          <s v="2024"/>
          <s v="2025"/>
          <s v="2026"/>
          <s v="&gt;20/01/2026"/>
        </groupItems>
      </fieldGroup>
    </cacheField>
    <cacheField name="PROFIT" numFmtId="0" formula="'UNIT COST'-'TOTAL COST'" databaseField="0"/>
    <cacheField name="TOTAL PROFIT" numFmtId="0" formula="'TOTAL COST'+'TOTAL SALES'" databaseField="0"/>
  </cacheFields>
  <extLst>
    <ext xmlns:x14="http://schemas.microsoft.com/office/spreadsheetml/2009/9/main" uri="{725AE2AE-9491-48be-B2B4-4EB974FC3084}">
      <x14:pivotCacheDefinition pivotCacheId="1754565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x v="0"/>
    <x v="0"/>
    <n v="69"/>
    <x v="0"/>
    <x v="0"/>
    <n v="297"/>
    <n v="4960"/>
    <n v="4008"/>
  </r>
  <r>
    <x v="1"/>
    <x v="1"/>
    <x v="1"/>
    <n v="57"/>
    <x v="1"/>
    <x v="1"/>
    <n v="652"/>
    <n v="5000"/>
    <n v="2998"/>
  </r>
  <r>
    <x v="2"/>
    <x v="2"/>
    <x v="2"/>
    <n v="70"/>
    <x v="2"/>
    <x v="2"/>
    <n v="824"/>
    <n v="2278"/>
    <n v="2621"/>
  </r>
  <r>
    <x v="1"/>
    <x v="3"/>
    <x v="0"/>
    <n v="80"/>
    <x v="3"/>
    <x v="3"/>
    <n v="810"/>
    <n v="2816"/>
    <n v="3564"/>
  </r>
  <r>
    <x v="1"/>
    <x v="4"/>
    <x v="1"/>
    <n v="68"/>
    <x v="4"/>
    <x v="4"/>
    <n v="247"/>
    <n v="3318"/>
    <n v="4257"/>
  </r>
  <r>
    <x v="0"/>
    <x v="5"/>
    <x v="2"/>
    <n v="78"/>
    <x v="1"/>
    <x v="5"/>
    <n v="523"/>
    <n v="2083"/>
    <n v="6673"/>
  </r>
  <r>
    <x v="2"/>
    <x v="6"/>
    <x v="0"/>
    <n v="71"/>
    <x v="5"/>
    <x v="6"/>
    <n v="344"/>
    <n v="3105"/>
    <n v="5700"/>
  </r>
  <r>
    <x v="1"/>
    <x v="7"/>
    <x v="1"/>
    <n v="49"/>
    <x v="6"/>
    <x v="7"/>
    <n v="841"/>
    <n v="2859"/>
    <n v="2273"/>
  </r>
  <r>
    <x v="0"/>
    <x v="8"/>
    <x v="2"/>
    <n v="57"/>
    <x v="0"/>
    <x v="8"/>
    <n v="599"/>
    <n v="4075"/>
    <n v="7263"/>
  </r>
  <r>
    <x v="2"/>
    <x v="9"/>
    <x v="0"/>
    <n v="23"/>
    <x v="1"/>
    <x v="8"/>
    <n v="416"/>
    <n v="2911"/>
    <n v="5380"/>
  </r>
  <r>
    <x v="1"/>
    <x v="10"/>
    <x v="1"/>
    <n v="63"/>
    <x v="2"/>
    <x v="9"/>
    <n v="543"/>
    <n v="4033"/>
    <n v="8906"/>
  </r>
  <r>
    <x v="0"/>
    <x v="11"/>
    <x v="2"/>
    <n v="80"/>
    <x v="7"/>
    <x v="10"/>
    <n v="713"/>
    <n v="3660"/>
    <n v="6302"/>
  </r>
  <r>
    <x v="2"/>
    <x v="12"/>
    <x v="0"/>
    <n v="64"/>
    <x v="3"/>
    <x v="11"/>
    <n v="526"/>
    <n v="2423"/>
    <n v="3715"/>
  </r>
  <r>
    <x v="1"/>
    <x v="13"/>
    <x v="1"/>
    <n v="58"/>
    <x v="8"/>
    <x v="12"/>
    <n v="748"/>
    <n v="3015"/>
    <n v="4977"/>
  </r>
  <r>
    <x v="0"/>
    <x v="14"/>
    <x v="2"/>
    <n v="64"/>
    <x v="4"/>
    <x v="13"/>
    <n v="548"/>
    <n v="4727"/>
    <n v="7059"/>
  </r>
  <r>
    <x v="2"/>
    <x v="15"/>
    <x v="0"/>
    <n v="28"/>
    <x v="6"/>
    <x v="14"/>
    <n v="835"/>
    <n v="3832"/>
    <n v="2577"/>
  </r>
  <r>
    <x v="1"/>
    <x v="16"/>
    <x v="1"/>
    <n v="33"/>
    <x v="9"/>
    <x v="15"/>
    <n v="877"/>
    <n v="4226"/>
    <n v="2985"/>
  </r>
  <r>
    <x v="0"/>
    <x v="17"/>
    <x v="2"/>
    <n v="47"/>
    <x v="5"/>
    <x v="16"/>
    <n v="476"/>
    <n v="2846"/>
    <n v="8054"/>
  </r>
  <r>
    <x v="2"/>
    <x v="18"/>
    <x v="0"/>
    <n v="56"/>
    <x v="10"/>
    <x v="17"/>
    <n v="430"/>
    <n v="3359"/>
    <n v="5805"/>
  </r>
  <r>
    <x v="1"/>
    <x v="19"/>
    <x v="1"/>
    <n v="42"/>
    <x v="11"/>
    <x v="7"/>
    <n v="608"/>
    <n v="3226"/>
    <n v="2517"/>
  </r>
  <r>
    <x v="0"/>
    <x v="20"/>
    <x v="2"/>
    <n v="86"/>
    <x v="12"/>
    <x v="18"/>
    <n v="207"/>
    <n v="3313"/>
    <n v="6156"/>
  </r>
  <r>
    <x v="2"/>
    <x v="21"/>
    <x v="0"/>
    <n v="54"/>
    <x v="13"/>
    <x v="19"/>
    <n v="716"/>
    <n v="3280"/>
    <n v="2101"/>
  </r>
  <r>
    <x v="1"/>
    <x v="22"/>
    <x v="1"/>
    <n v="35"/>
    <x v="0"/>
    <x v="20"/>
    <n v="610"/>
    <n v="2069"/>
    <n v="6573"/>
  </r>
  <r>
    <x v="0"/>
    <x v="23"/>
    <x v="2"/>
    <n v="27"/>
    <x v="4"/>
    <x v="21"/>
    <n v="603"/>
    <n v="2603"/>
    <n v="4037"/>
  </r>
  <r>
    <x v="2"/>
    <x v="24"/>
    <x v="0"/>
    <n v="75"/>
    <x v="6"/>
    <x v="2"/>
    <n v="715"/>
    <n v="3207"/>
    <n v="4464"/>
  </r>
  <r>
    <x v="1"/>
    <x v="25"/>
    <x v="1"/>
    <n v="41"/>
    <x v="14"/>
    <x v="22"/>
    <n v="499"/>
    <n v="4396"/>
    <n v="8592"/>
  </r>
  <r>
    <x v="0"/>
    <x v="26"/>
    <x v="2"/>
    <n v="20"/>
    <x v="1"/>
    <x v="23"/>
    <n v="708"/>
    <n v="2294"/>
    <n v="4573"/>
  </r>
  <r>
    <x v="2"/>
    <x v="27"/>
    <x v="0"/>
    <n v="76"/>
    <x v="10"/>
    <x v="24"/>
    <n v="339"/>
    <n v="2605"/>
    <n v="2407"/>
  </r>
  <r>
    <x v="1"/>
    <x v="28"/>
    <x v="1"/>
    <n v="69"/>
    <x v="11"/>
    <x v="20"/>
    <n v="714"/>
    <n v="4745"/>
    <n v="6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BA92F-F644-43FC-A00B-4553DA5CD709}"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5:D56" firstHeaderRow="0" firstDataRow="1" firstDataCol="1"/>
  <pivotFields count="13">
    <pivotField axis="axisRow" multipleItemSelectionAllowed="1" showAll="0">
      <items count="4">
        <item x="2"/>
        <item x="0"/>
        <item x="1"/>
        <item t="default"/>
      </items>
    </pivotField>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4">
        <item x="2"/>
        <item x="1"/>
        <item x="0"/>
        <item t="default"/>
      </items>
    </pivotField>
    <pivotField showAll="0"/>
    <pivotField axis="axisRow" multipleItemSelectionAllowed="1" showAll="0">
      <items count="17">
        <item x="13"/>
        <item m="1" x="15"/>
        <item x="14"/>
        <item x="10"/>
        <item x="9"/>
        <item x="11"/>
        <item x="12"/>
        <item x="8"/>
        <item x="7"/>
        <item x="0"/>
        <item x="2"/>
        <item x="3"/>
        <item x="4"/>
        <item x="1"/>
        <item x="5"/>
        <item x="6"/>
        <item t="default"/>
      </items>
    </pivotField>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3">
    <field x="0"/>
    <field x="4"/>
    <field x="2"/>
  </rowFields>
  <rowItems count="51">
    <i>
      <x/>
    </i>
    <i r="1">
      <x/>
    </i>
    <i r="2">
      <x v="2"/>
    </i>
    <i r="1">
      <x v="3"/>
    </i>
    <i r="2">
      <x v="2"/>
    </i>
    <i r="1">
      <x v="10"/>
    </i>
    <i r="2">
      <x/>
    </i>
    <i r="1">
      <x v="11"/>
    </i>
    <i r="2">
      <x v="2"/>
    </i>
    <i r="1">
      <x v="13"/>
    </i>
    <i r="2">
      <x v="2"/>
    </i>
    <i r="1">
      <x v="14"/>
    </i>
    <i r="2">
      <x v="2"/>
    </i>
    <i r="1">
      <x v="15"/>
    </i>
    <i r="2">
      <x v="2"/>
    </i>
    <i>
      <x v="1"/>
    </i>
    <i r="1">
      <x v="6"/>
    </i>
    <i r="2">
      <x/>
    </i>
    <i r="1">
      <x v="8"/>
    </i>
    <i r="2">
      <x/>
    </i>
    <i r="1">
      <x v="9"/>
    </i>
    <i r="2">
      <x/>
    </i>
    <i r="2">
      <x v="2"/>
    </i>
    <i r="1">
      <x v="12"/>
    </i>
    <i r="2">
      <x/>
    </i>
    <i r="1">
      <x v="13"/>
    </i>
    <i r="2">
      <x/>
    </i>
    <i r="1">
      <x v="14"/>
    </i>
    <i r="2">
      <x/>
    </i>
    <i>
      <x v="2"/>
    </i>
    <i r="1">
      <x v="2"/>
    </i>
    <i r="2">
      <x v="1"/>
    </i>
    <i r="1">
      <x v="4"/>
    </i>
    <i r="2">
      <x v="1"/>
    </i>
    <i r="1">
      <x v="5"/>
    </i>
    <i r="2">
      <x v="1"/>
    </i>
    <i r="1">
      <x v="7"/>
    </i>
    <i r="2">
      <x v="1"/>
    </i>
    <i r="1">
      <x v="9"/>
    </i>
    <i r="2">
      <x v="1"/>
    </i>
    <i r="1">
      <x v="10"/>
    </i>
    <i r="2">
      <x v="1"/>
    </i>
    <i r="1">
      <x v="11"/>
    </i>
    <i r="2">
      <x v="2"/>
    </i>
    <i r="1">
      <x v="12"/>
    </i>
    <i r="2">
      <x v="1"/>
    </i>
    <i r="1">
      <x v="13"/>
    </i>
    <i r="2">
      <x v="1"/>
    </i>
    <i r="1">
      <x v="15"/>
    </i>
    <i r="2">
      <x v="1"/>
    </i>
    <i t="grand">
      <x/>
    </i>
  </rowItems>
  <colFields count="1">
    <field x="-2"/>
  </colFields>
  <colItems count="3">
    <i>
      <x/>
    </i>
    <i i="1">
      <x v="1"/>
    </i>
    <i i="2">
      <x v="2"/>
    </i>
  </colItems>
  <dataFields count="3">
    <dataField name="Sum of TOTAL SALES" fld="8" baseField="0" baseItem="0"/>
    <dataField name="Count of TOTAL SALES" fld="8" subtotal="count" baseField="0" baseItem="0"/>
    <dataField name="Average of TOTAL SALES" fld="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737E73-F52F-4811-AB0E-7CA4020672BA}"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39" firstHeaderRow="1" firstDataRow="1" firstDataCol="1"/>
  <pivotFields count="13">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pivotField showAll="0"/>
    <pivotField showAll="0"/>
    <pivotField dataField="1" showAll="0"/>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 dragToRow="0" dragToCol="0" dragToPage="0" showAll="0" defaultSubtotal="0"/>
    <pivotField dragToRow="0" dragToCol="0" dragToPage="0" showAll="0" defaultSubtotal="0"/>
  </pivotFields>
  <rowFields count="3">
    <field x="10"/>
    <field x="9"/>
    <field x="1"/>
  </rowFields>
  <rowItems count="36">
    <i>
      <x v="1"/>
    </i>
    <i r="1">
      <x v="12"/>
    </i>
    <i r="2">
      <x v="347"/>
    </i>
    <i r="2">
      <x v="348"/>
    </i>
    <i r="2">
      <x v="349"/>
    </i>
    <i r="2">
      <x v="350"/>
    </i>
    <i r="2">
      <x v="351"/>
    </i>
    <i r="2">
      <x v="352"/>
    </i>
    <i r="2">
      <x v="353"/>
    </i>
    <i r="2">
      <x v="354"/>
    </i>
    <i r="2">
      <x v="355"/>
    </i>
    <i r="2">
      <x v="356"/>
    </i>
    <i>
      <x v="2"/>
    </i>
    <i r="1">
      <x v="1"/>
    </i>
    <i r="2">
      <x v="1"/>
    </i>
    <i r="2">
      <x v="2"/>
    </i>
    <i r="2">
      <x v="3"/>
    </i>
    <i r="2">
      <x v="4"/>
    </i>
    <i r="2">
      <x v="5"/>
    </i>
    <i r="2">
      <x v="6"/>
    </i>
    <i r="2">
      <x v="7"/>
    </i>
    <i r="2">
      <x v="8"/>
    </i>
    <i r="2">
      <x v="9"/>
    </i>
    <i r="2">
      <x v="10"/>
    </i>
    <i r="2">
      <x v="11"/>
    </i>
    <i r="2">
      <x v="12"/>
    </i>
    <i r="2">
      <x v="13"/>
    </i>
    <i>
      <x v="3"/>
    </i>
    <i r="1">
      <x v="1"/>
    </i>
    <i r="2">
      <x v="14"/>
    </i>
    <i r="2">
      <x v="15"/>
    </i>
    <i r="2">
      <x v="16"/>
    </i>
    <i r="2">
      <x v="17"/>
    </i>
    <i r="2">
      <x v="18"/>
    </i>
    <i r="2">
      <x v="19"/>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F350B2-A036-4A6E-8CD5-7E92B36B7AC9}"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E25" firstHeaderRow="0" firstDataRow="1" firstDataCol="1"/>
  <pivotFields count="13">
    <pivotField axis="axisRow" showAll="0">
      <items count="4">
        <item x="2"/>
        <item x="0"/>
        <item x="1"/>
        <item t="default"/>
      </items>
    </pivotField>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4">
        <item x="2"/>
        <item x="1"/>
        <item x="0"/>
        <item t="default"/>
      </items>
    </pivotField>
    <pivotField showAll="0"/>
    <pivotField showAll="0"/>
    <pivotField showAll="0"/>
    <pivotField dataField="1" showAll="0"/>
    <pivotField dataField="1"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5">
        <item sd="0" x="0"/>
        <item sd="0" x="1"/>
        <item sd="0" x="2"/>
        <item sd="0" x="3"/>
        <item sd="0" x="4"/>
      </items>
    </pivotField>
    <pivotField dragToRow="0" dragToCol="0" dragToPage="0" showAll="0" defaultSubtotal="0"/>
    <pivotField dataField="1" dragToRow="0" dragToCol="0" dragToPage="0" showAll="0" defaultSubtotal="0"/>
  </pivotFields>
  <rowFields count="5">
    <field x="0"/>
    <field x="2"/>
    <field x="10"/>
    <field x="9"/>
    <field x="1"/>
  </rowFields>
  <rowItems count="22">
    <i>
      <x/>
    </i>
    <i r="1">
      <x/>
    </i>
    <i r="2">
      <x v="1"/>
    </i>
    <i r="1">
      <x v="2"/>
    </i>
    <i r="2">
      <x v="1"/>
    </i>
    <i r="2">
      <x v="2"/>
    </i>
    <i r="2">
      <x v="3"/>
    </i>
    <i>
      <x v="1"/>
    </i>
    <i r="1">
      <x/>
    </i>
    <i r="2">
      <x v="1"/>
    </i>
    <i r="2">
      <x v="2"/>
    </i>
    <i r="2">
      <x v="3"/>
    </i>
    <i r="1">
      <x v="2"/>
    </i>
    <i r="2">
      <x v="1"/>
    </i>
    <i>
      <x v="2"/>
    </i>
    <i r="1">
      <x v="1"/>
    </i>
    <i r="2">
      <x v="1"/>
    </i>
    <i r="2">
      <x v="2"/>
    </i>
    <i r="2">
      <x v="3"/>
    </i>
    <i r="1">
      <x v="2"/>
    </i>
    <i r="2">
      <x v="1"/>
    </i>
    <i t="grand">
      <x/>
    </i>
  </rowItems>
  <colFields count="1">
    <field x="-2"/>
  </colFields>
  <colItems count="4">
    <i>
      <x/>
    </i>
    <i i="1">
      <x v="1"/>
    </i>
    <i i="2">
      <x v="2"/>
    </i>
    <i i="3">
      <x v="3"/>
    </i>
  </colItems>
  <dataFields count="4">
    <dataField name="Sum of UNIT COST" fld="6" baseField="0" baseItem="0"/>
    <dataField name="Sum of TOTAL SALES" fld="8" baseField="0" baseItem="0"/>
    <dataField name="Sum of TOTAL COST" fld="7" baseField="0" baseItem="0"/>
    <dataField name="Sum of TOTAL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2B48FE0-1870-478E-83D6-62F245D2E843}"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6:C28" firstHeaderRow="0" firstDataRow="1" firstDataCol="1"/>
  <pivotFields count="13">
    <pivotField axis="axisRow" showAll="0">
      <items count="4">
        <item x="2"/>
        <item x="0"/>
        <item x="1"/>
        <item t="default"/>
      </items>
    </pivotField>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4">
        <item x="2"/>
        <item x="1"/>
        <item x="0"/>
        <item t="default"/>
      </items>
    </pivotField>
    <pivotField showAll="0"/>
    <pivotField showAll="0"/>
    <pivotField showAll="0"/>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5">
        <item sd="0" x="0"/>
        <item sd="0" x="1"/>
        <item sd="0" x="2"/>
        <item sd="0" x="3"/>
        <item sd="0" x="4"/>
      </items>
    </pivotField>
    <pivotField dragToRow="0" dragToCol="0" dragToPage="0" showAll="0" defaultSubtotal="0"/>
    <pivotField dataField="1" dragToRow="0" dragToCol="0" dragToPage="0" showAll="0" defaultSubtotal="0"/>
  </pivotFields>
  <rowFields count="5">
    <field x="0"/>
    <field x="2"/>
    <field x="10"/>
    <field x="9"/>
    <field x="1"/>
  </rowFields>
  <rowItems count="22">
    <i>
      <x/>
    </i>
    <i r="1">
      <x/>
    </i>
    <i r="2">
      <x v="1"/>
    </i>
    <i r="1">
      <x v="2"/>
    </i>
    <i r="2">
      <x v="1"/>
    </i>
    <i r="2">
      <x v="2"/>
    </i>
    <i r="2">
      <x v="3"/>
    </i>
    <i>
      <x v="1"/>
    </i>
    <i r="1">
      <x/>
    </i>
    <i r="2">
      <x v="1"/>
    </i>
    <i r="2">
      <x v="2"/>
    </i>
    <i r="2">
      <x v="3"/>
    </i>
    <i r="1">
      <x v="2"/>
    </i>
    <i r="2">
      <x v="1"/>
    </i>
    <i>
      <x v="2"/>
    </i>
    <i r="1">
      <x v="1"/>
    </i>
    <i r="2">
      <x v="1"/>
    </i>
    <i r="2">
      <x v="2"/>
    </i>
    <i r="2">
      <x v="3"/>
    </i>
    <i r="1">
      <x v="2"/>
    </i>
    <i r="2">
      <x v="1"/>
    </i>
    <i t="grand">
      <x/>
    </i>
  </rowItems>
  <colFields count="1">
    <field x="-2"/>
  </colFields>
  <colItems count="2">
    <i>
      <x/>
    </i>
    <i i="1">
      <x v="1"/>
    </i>
  </colItems>
  <dataFields count="2">
    <dataField name="Sum of TOTAL SALES" fld="8" baseField="0" baseItem="0"/>
    <dataField name="Sum of TOTAL PROFIT" fld="1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ADD1E9-D319-4F2B-BB29-D3ADBDE16D62}" name="PivotTable5"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A6:C10" firstHeaderRow="0" firstDataRow="1" firstDataCol="1"/>
  <pivotFields count="13">
    <pivotField axis="axisRow" showAll="0">
      <items count="4">
        <item h="1" x="2"/>
        <item h="1" x="0"/>
        <item x="1"/>
        <item t="default"/>
      </items>
    </pivotField>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4">
        <item x="2"/>
        <item x="1"/>
        <item h="1" x="0"/>
        <item t="default"/>
      </items>
    </pivotField>
    <pivotField showAll="0"/>
    <pivotField showAll="0"/>
    <pivotField dataField="1" showAll="0">
      <items count="26">
        <item h="1" x="16"/>
        <item h="1" x="4"/>
        <item h="1" x="18"/>
        <item h="1" x="19"/>
        <item h="1" x="11"/>
        <item x="1"/>
        <item h="1" x="8"/>
        <item h="1" x="2"/>
        <item h="1" x="10"/>
        <item h="1" x="9"/>
        <item h="1" x="15"/>
        <item h="1" x="24"/>
        <item h="1" x="22"/>
        <item h="1" x="7"/>
        <item h="1" x="3"/>
        <item h="1" x="12"/>
        <item h="1" x="21"/>
        <item h="1" x="14"/>
        <item h="1" x="23"/>
        <item h="1" x="5"/>
        <item h="1" x="0"/>
        <item h="1" x="6"/>
        <item h="1" x="20"/>
        <item h="1" x="17"/>
        <item h="1" x="13"/>
        <item t="default"/>
      </items>
    </pivotField>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5">
        <item sd="0" x="0"/>
        <item sd="0" x="1"/>
        <item sd="0" x="2"/>
        <item sd="0" x="3"/>
        <item sd="0" x="4"/>
      </items>
    </pivotField>
    <pivotField dragToRow="0" dragToCol="0" dragToPage="0" showAll="0" defaultSubtotal="0"/>
    <pivotField dragToRow="0" dragToCol="0" dragToPage="0" showAll="0" defaultSubtotal="0"/>
  </pivotFields>
  <rowFields count="5">
    <field x="0"/>
    <field x="2"/>
    <field x="10"/>
    <field x="9"/>
    <field x="1"/>
  </rowFields>
  <rowItems count="4">
    <i>
      <x v="2"/>
    </i>
    <i r="1">
      <x v="1"/>
    </i>
    <i r="2">
      <x v="1"/>
    </i>
    <i t="grand">
      <x/>
    </i>
  </rowItems>
  <colFields count="1">
    <field x="-2"/>
  </colFields>
  <colItems count="2">
    <i>
      <x/>
    </i>
    <i i="1">
      <x v="1"/>
    </i>
  </colItems>
  <dataFields count="2">
    <dataField name="Sum of TOTAL SALES" fld="8" baseField="0" baseItem="0"/>
    <dataField name="Sum of AGE"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0CFBE1F-3322-473E-B839-1084CF83E377}" sourceName="REGION">
  <pivotTables>
    <pivotTable tabId="31" name="PivotTable5"/>
  </pivotTables>
  <data>
    <tabular pivotCacheId="175456572">
      <items count="3">
        <i x="1" s="1"/>
        <i x="2" nd="1"/>
        <i x="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A6F94050-6640-44D0-AE09-7F8FF76E6AE2}" sourceName="DATE">
  <pivotTables>
    <pivotTable tabId="31" name="PivotTable5"/>
  </pivotTables>
  <data>
    <tabular pivotCacheId="175456572">
      <items count="368">
        <i x="348" s="1"/>
        <i x="0" s="1" nd="1"/>
        <i x="367" s="1" nd="1"/>
        <i x="92" s="1" nd="1"/>
        <i x="214" s="1" nd="1"/>
        <i x="336" s="1" nd="1"/>
        <i x="32" s="1" nd="1"/>
        <i x="1" s="1" nd="1"/>
        <i x="183" s="1" nd="1"/>
        <i x="153" s="1" nd="1"/>
        <i x="61" s="1" nd="1"/>
        <i x="122" s="1" nd="1"/>
        <i x="306" s="1" nd="1"/>
        <i x="275" s="1" nd="1"/>
        <i x="245" s="1" nd="1"/>
        <i x="93" s="1" nd="1"/>
        <i x="215" s="1" nd="1"/>
        <i x="337" s="1" nd="1"/>
        <i x="33" s="1" nd="1"/>
        <i x="2" s="1" nd="1"/>
        <i x="184" s="1" nd="1"/>
        <i x="154" s="1" nd="1"/>
        <i x="62" s="1" nd="1"/>
        <i x="123" s="1" nd="1"/>
        <i x="307" s="1" nd="1"/>
        <i x="276" s="1" nd="1"/>
        <i x="246" s="1" nd="1"/>
        <i x="94" s="1" nd="1"/>
        <i x="216" s="1" nd="1"/>
        <i x="338" s="1" nd="1"/>
        <i x="34" s="1" nd="1"/>
        <i x="3" s="1" nd="1"/>
        <i x="185" s="1" nd="1"/>
        <i x="155" s="1" nd="1"/>
        <i x="63" s="1" nd="1"/>
        <i x="124" s="1" nd="1"/>
        <i x="308" s="1" nd="1"/>
        <i x="277" s="1" nd="1"/>
        <i x="247" s="1" nd="1"/>
        <i x="95" s="1" nd="1"/>
        <i x="217" s="1" nd="1"/>
        <i x="339" s="1" nd="1"/>
        <i x="35" s="1" nd="1"/>
        <i x="4" s="1" nd="1"/>
        <i x="186" s="1" nd="1"/>
        <i x="156" s="1" nd="1"/>
        <i x="64" s="1" nd="1"/>
        <i x="125" s="1" nd="1"/>
        <i x="309" s="1" nd="1"/>
        <i x="278" s="1" nd="1"/>
        <i x="248" s="1" nd="1"/>
        <i x="96" s="1" nd="1"/>
        <i x="218" s="1" nd="1"/>
        <i x="340" s="1" nd="1"/>
        <i x="36" s="1" nd="1"/>
        <i x="5" s="1" nd="1"/>
        <i x="187" s="1" nd="1"/>
        <i x="157" s="1" nd="1"/>
        <i x="65" s="1" nd="1"/>
        <i x="126" s="1" nd="1"/>
        <i x="310" s="1" nd="1"/>
        <i x="279" s="1" nd="1"/>
        <i x="249" s="1" nd="1"/>
        <i x="97" s="1" nd="1"/>
        <i x="219" s="1" nd="1"/>
        <i x="341" s="1" nd="1"/>
        <i x="37" s="1" nd="1"/>
        <i x="6" s="1" nd="1"/>
        <i x="188" s="1" nd="1"/>
        <i x="158" s="1" nd="1"/>
        <i x="66" s="1" nd="1"/>
        <i x="127" s="1" nd="1"/>
        <i x="311" s="1" nd="1"/>
        <i x="280" s="1" nd="1"/>
        <i x="250" s="1" nd="1"/>
        <i x="98" s="1" nd="1"/>
        <i x="220" s="1" nd="1"/>
        <i x="342" s="1" nd="1"/>
        <i x="38" s="1" nd="1"/>
        <i x="7" s="1" nd="1"/>
        <i x="189" s="1" nd="1"/>
        <i x="159" s="1" nd="1"/>
        <i x="67" s="1" nd="1"/>
        <i x="128" s="1" nd="1"/>
        <i x="312" s="1" nd="1"/>
        <i x="281" s="1" nd="1"/>
        <i x="251" s="1" nd="1"/>
        <i x="99" s="1" nd="1"/>
        <i x="221" s="1" nd="1"/>
        <i x="343" s="1" nd="1"/>
        <i x="39" s="1" nd="1"/>
        <i x="8" s="1" nd="1"/>
        <i x="190" s="1" nd="1"/>
        <i x="160" s="1" nd="1"/>
        <i x="68" s="1" nd="1"/>
        <i x="129" s="1" nd="1"/>
        <i x="313" s="1" nd="1"/>
        <i x="282" s="1" nd="1"/>
        <i x="252" s="1" nd="1"/>
        <i x="100" s="1" nd="1"/>
        <i x="222" s="1" nd="1"/>
        <i x="344" s="1" nd="1"/>
        <i x="40" s="1" nd="1"/>
        <i x="9" s="1" nd="1"/>
        <i x="191" s="1" nd="1"/>
        <i x="161" s="1" nd="1"/>
        <i x="69" s="1" nd="1"/>
        <i x="130" s="1" nd="1"/>
        <i x="314" s="1" nd="1"/>
        <i x="283" s="1" nd="1"/>
        <i x="253" s="1" nd="1"/>
        <i x="101" s="1" nd="1"/>
        <i x="223" s="1" nd="1"/>
        <i x="345" s="1" nd="1"/>
        <i x="41" s="1" nd="1"/>
        <i x="10" s="1" nd="1"/>
        <i x="192" s="1" nd="1"/>
        <i x="162" s="1" nd="1"/>
        <i x="70" s="1" nd="1"/>
        <i x="131" s="1" nd="1"/>
        <i x="315" s="1" nd="1"/>
        <i x="284" s="1" nd="1"/>
        <i x="254" s="1" nd="1"/>
        <i x="102" s="1" nd="1"/>
        <i x="224" s="1" nd="1"/>
        <i x="346" s="1" nd="1"/>
        <i x="42" s="1" nd="1"/>
        <i x="11" s="1" nd="1"/>
        <i x="193" s="1" nd="1"/>
        <i x="163" s="1" nd="1"/>
        <i x="71" s="1" nd="1"/>
        <i x="132" s="1" nd="1"/>
        <i x="316" s="1" nd="1"/>
        <i x="285" s="1" nd="1"/>
        <i x="255" s="1" nd="1"/>
        <i x="103" s="1" nd="1"/>
        <i x="225" s="1" nd="1"/>
        <i x="347" s="1" nd="1"/>
        <i x="43" s="1" nd="1"/>
        <i x="12" s="1" nd="1"/>
        <i x="194" s="1" nd="1"/>
        <i x="164" s="1" nd="1"/>
        <i x="72" s="1" nd="1"/>
        <i x="133" s="1" nd="1"/>
        <i x="317" s="1" nd="1"/>
        <i x="286" s="1" nd="1"/>
        <i x="256" s="1" nd="1"/>
        <i x="104" s="1" nd="1"/>
        <i x="226" s="1" nd="1"/>
        <i x="44" s="1" nd="1"/>
        <i x="13" s="1" nd="1"/>
        <i x="195" s="1" nd="1"/>
        <i x="165" s="1" nd="1"/>
        <i x="73" s="1" nd="1"/>
        <i x="134" s="1" nd="1"/>
        <i x="318" s="1" nd="1"/>
        <i x="287" s="1" nd="1"/>
        <i x="257" s="1" nd="1"/>
        <i x="105" s="1" nd="1"/>
        <i x="227" s="1" nd="1"/>
        <i x="349" s="1" nd="1"/>
        <i x="45" s="1" nd="1"/>
        <i x="14" s="1" nd="1"/>
        <i x="196" s="1" nd="1"/>
        <i x="166" s="1" nd="1"/>
        <i x="74" s="1" nd="1"/>
        <i x="135" s="1" nd="1"/>
        <i x="319" s="1" nd="1"/>
        <i x="288" s="1" nd="1"/>
        <i x="258" s="1" nd="1"/>
        <i x="106" s="1" nd="1"/>
        <i x="228" s="1" nd="1"/>
        <i x="350" s="1" nd="1"/>
        <i x="46" s="1" nd="1"/>
        <i x="15" s="1" nd="1"/>
        <i x="197" s="1" nd="1"/>
        <i x="167" s="1" nd="1"/>
        <i x="75" s="1" nd="1"/>
        <i x="136" s="1" nd="1"/>
        <i x="320" s="1" nd="1"/>
        <i x="289" s="1" nd="1"/>
        <i x="259" s="1" nd="1"/>
        <i x="107" s="1" nd="1"/>
        <i x="229" s="1" nd="1"/>
        <i x="351" s="1" nd="1"/>
        <i x="47" s="1" nd="1"/>
        <i x="16" s="1" nd="1"/>
        <i x="198" s="1" nd="1"/>
        <i x="168" s="1" nd="1"/>
        <i x="76" s="1" nd="1"/>
        <i x="137" s="1" nd="1"/>
        <i x="321" s="1" nd="1"/>
        <i x="290" s="1" nd="1"/>
        <i x="260" s="1" nd="1"/>
        <i x="108" s="1" nd="1"/>
        <i x="230" s="1" nd="1"/>
        <i x="352" s="1" nd="1"/>
        <i x="48" s="1" nd="1"/>
        <i x="17" s="1" nd="1"/>
        <i x="199" s="1" nd="1"/>
        <i x="169" s="1" nd="1"/>
        <i x="77" s="1" nd="1"/>
        <i x="138" s="1" nd="1"/>
        <i x="322" s="1" nd="1"/>
        <i x="291" s="1" nd="1"/>
        <i x="261" s="1" nd="1"/>
        <i x="109" s="1" nd="1"/>
        <i x="231" s="1" nd="1"/>
        <i x="353" s="1" nd="1"/>
        <i x="49" s="1" nd="1"/>
        <i x="18" s="1" nd="1"/>
        <i x="200" s="1" nd="1"/>
        <i x="170" s="1" nd="1"/>
        <i x="78" s="1" nd="1"/>
        <i x="139" s="1" nd="1"/>
        <i x="323" s="1" nd="1"/>
        <i x="292" s="1" nd="1"/>
        <i x="262" s="1" nd="1"/>
        <i x="110" s="1" nd="1"/>
        <i x="232" s="1" nd="1"/>
        <i x="354" s="1" nd="1"/>
        <i x="50" s="1" nd="1"/>
        <i x="19" s="1" nd="1"/>
        <i x="201" s="1" nd="1"/>
        <i x="171" s="1" nd="1"/>
        <i x="79" s="1" nd="1"/>
        <i x="140" s="1" nd="1"/>
        <i x="324" s="1" nd="1"/>
        <i x="293" s="1" nd="1"/>
        <i x="263" s="1" nd="1"/>
        <i x="111" s="1" nd="1"/>
        <i x="233" s="1" nd="1"/>
        <i x="355" s="1" nd="1"/>
        <i x="51" s="1" nd="1"/>
        <i x="20" s="1" nd="1"/>
        <i x="202" s="1" nd="1"/>
        <i x="172" s="1" nd="1"/>
        <i x="80" s="1" nd="1"/>
        <i x="141" s="1" nd="1"/>
        <i x="325" s="1" nd="1"/>
        <i x="294" s="1" nd="1"/>
        <i x="264" s="1" nd="1"/>
        <i x="112" s="1" nd="1"/>
        <i x="234" s="1" nd="1"/>
        <i x="356" s="1" nd="1"/>
        <i x="52" s="1" nd="1"/>
        <i x="21" s="1" nd="1"/>
        <i x="203" s="1" nd="1"/>
        <i x="173" s="1" nd="1"/>
        <i x="81" s="1" nd="1"/>
        <i x="142" s="1" nd="1"/>
        <i x="326" s="1" nd="1"/>
        <i x="295" s="1" nd="1"/>
        <i x="265" s="1" nd="1"/>
        <i x="113" s="1" nd="1"/>
        <i x="235" s="1" nd="1"/>
        <i x="357" s="1" nd="1"/>
        <i x="53" s="1" nd="1"/>
        <i x="22" s="1" nd="1"/>
        <i x="204" s="1" nd="1"/>
        <i x="174" s="1" nd="1"/>
        <i x="82" s="1" nd="1"/>
        <i x="143" s="1" nd="1"/>
        <i x="327" s="1" nd="1"/>
        <i x="296" s="1" nd="1"/>
        <i x="266" s="1" nd="1"/>
        <i x="114" s="1" nd="1"/>
        <i x="236" s="1" nd="1"/>
        <i x="358" s="1" nd="1"/>
        <i x="54" s="1" nd="1"/>
        <i x="23" s="1" nd="1"/>
        <i x="205" s="1" nd="1"/>
        <i x="175" s="1" nd="1"/>
        <i x="83" s="1" nd="1"/>
        <i x="144" s="1" nd="1"/>
        <i x="328" s="1" nd="1"/>
        <i x="297" s="1" nd="1"/>
        <i x="267" s="1" nd="1"/>
        <i x="115" s="1" nd="1"/>
        <i x="237" s="1" nd="1"/>
        <i x="359" s="1" nd="1"/>
        <i x="55" s="1" nd="1"/>
        <i x="24" s="1" nd="1"/>
        <i x="206" s="1" nd="1"/>
        <i x="176" s="1" nd="1"/>
        <i x="84" s="1" nd="1"/>
        <i x="145" s="1" nd="1"/>
        <i x="329" s="1" nd="1"/>
        <i x="298" s="1" nd="1"/>
        <i x="268" s="1" nd="1"/>
        <i x="116" s="1" nd="1"/>
        <i x="238" s="1" nd="1"/>
        <i x="360" s="1" nd="1"/>
        <i x="56" s="1" nd="1"/>
        <i x="25" s="1" nd="1"/>
        <i x="207" s="1" nd="1"/>
        <i x="177" s="1" nd="1"/>
        <i x="85" s="1" nd="1"/>
        <i x="146" s="1" nd="1"/>
        <i x="330" s="1" nd="1"/>
        <i x="299" s="1" nd="1"/>
        <i x="269" s="1" nd="1"/>
        <i x="117" s="1" nd="1"/>
        <i x="239" s="1" nd="1"/>
        <i x="361" s="1" nd="1"/>
        <i x="57" s="1" nd="1"/>
        <i x="26" s="1" nd="1"/>
        <i x="208" s="1" nd="1"/>
        <i x="178" s="1" nd="1"/>
        <i x="86" s="1" nd="1"/>
        <i x="147" s="1" nd="1"/>
        <i x="331" s="1" nd="1"/>
        <i x="300" s="1" nd="1"/>
        <i x="270" s="1" nd="1"/>
        <i x="118" s="1" nd="1"/>
        <i x="240" s="1" nd="1"/>
        <i x="362" s="1" nd="1"/>
        <i x="58" s="1" nd="1"/>
        <i x="27" s="1" nd="1"/>
        <i x="209" s="1" nd="1"/>
        <i x="179" s="1" nd="1"/>
        <i x="87" s="1" nd="1"/>
        <i x="148" s="1" nd="1"/>
        <i x="332" s="1" nd="1"/>
        <i x="301" s="1" nd="1"/>
        <i x="271" s="1" nd="1"/>
        <i x="119" s="1" nd="1"/>
        <i x="241" s="1" nd="1"/>
        <i x="363" s="1" nd="1"/>
        <i x="59" s="1" nd="1"/>
        <i x="28" s="1" nd="1"/>
        <i x="210" s="1" nd="1"/>
        <i x="180" s="1" nd="1"/>
        <i x="88" s="1" nd="1"/>
        <i x="149" s="1" nd="1"/>
        <i x="333" s="1" nd="1"/>
        <i x="302" s="1" nd="1"/>
        <i x="272" s="1" nd="1"/>
        <i x="120" s="1" nd="1"/>
        <i x="242" s="1" nd="1"/>
        <i x="364" s="1" nd="1"/>
        <i x="60" s="1" nd="1"/>
        <i x="29" s="1" nd="1"/>
        <i x="211" s="1" nd="1"/>
        <i x="181" s="1" nd="1"/>
        <i x="89" s="1" nd="1"/>
        <i x="150" s="1" nd="1"/>
        <i x="334" s="1" nd="1"/>
        <i x="303" s="1" nd="1"/>
        <i x="273" s="1" nd="1"/>
        <i x="121" s="1" nd="1"/>
        <i x="243" s="1" nd="1"/>
        <i x="365" s="1" nd="1"/>
        <i x="30" s="1" nd="1"/>
        <i x="212" s="1" nd="1"/>
        <i x="182" s="1" nd="1"/>
        <i x="90" s="1" nd="1"/>
        <i x="151" s="1" nd="1"/>
        <i x="335" s="1" nd="1"/>
        <i x="304" s="1" nd="1"/>
        <i x="274" s="1" nd="1"/>
        <i x="244" s="1" nd="1"/>
        <i x="366" s="1" nd="1"/>
        <i x="31" s="1" nd="1"/>
        <i x="213" s="1" nd="1"/>
        <i x="91" s="1" nd="1"/>
        <i x="152" s="1" nd="1"/>
        <i x="30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FA5106C6-3F28-43AA-B0FA-DFD0CFFA6571}" sourceName="ITEM">
  <pivotTables>
    <pivotTable tabId="31" name="PivotTable5"/>
  </pivotTables>
  <data>
    <tabular pivotCacheId="175456572">
      <items count="3">
        <i x="1" s="1"/>
        <i x="2" s="1" nd="1"/>
        <i x="0"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95B6A255-4205-4816-8387-96670CD5332C}" sourceName="AGE">
  <pivotTables>
    <pivotTable tabId="31" name="PivotTable5"/>
  </pivotTables>
  <data>
    <tabular pivotCacheId="175456572">
      <items count="25">
        <i x="4"/>
        <i x="1" s="1"/>
        <i x="9"/>
        <i x="15"/>
        <i x="22"/>
        <i x="7"/>
        <i x="12"/>
        <i x="20"/>
        <i x="16" nd="1"/>
        <i x="18" nd="1"/>
        <i x="19" nd="1"/>
        <i x="11" nd="1"/>
        <i x="8" nd="1"/>
        <i x="2" nd="1"/>
        <i x="10" nd="1"/>
        <i x="24" nd="1"/>
        <i x="3" nd="1"/>
        <i x="21" nd="1"/>
        <i x="14" nd="1"/>
        <i x="23" nd="1"/>
        <i x="5" nd="1"/>
        <i x="0" nd="1"/>
        <i x="6" nd="1"/>
        <i x="17"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864C931-4564-4CBC-8F99-BA126B0A7CC8}" cache="Slicer_REGION" caption="REGION" rowHeight="241300"/>
  <slicer name="DATE" xr10:uid="{65FA75E8-AA9F-499F-907B-5C75CCFFCC6A}" cache="Slicer_DATE" caption="DATE" rowHeight="241300"/>
  <slicer name="ITEM" xr10:uid="{45D58A75-0A29-4543-B587-1254F9F41214}" cache="Slicer_ITEM" caption="ITEM" rowHeight="241300"/>
  <slicer name="AGE" xr10:uid="{CAF0008D-B368-475C-AEF2-AFCD15CD98FE}" cache="Slicer_AGE" caption="AG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AFF0EF-AE87-43D7-8A98-E15FC1BA63AC}" name="Table2" displayName="Table2" ref="A1:I3" totalsRowShown="0">
  <autoFilter ref="A1:I3" xr:uid="{3BAFF0EF-AE87-43D7-8A98-E15FC1BA63AC}"/>
  <tableColumns count="9">
    <tableColumn id="1" xr3:uid="{D258C3F4-AD35-417B-BA77-0DC0685D2681}" name="REGION"/>
    <tableColumn id="2" xr3:uid="{46CA8093-EFE9-4740-802F-CCBBD4E0AA8C}" name="DATE" dataDxfId="1"/>
    <tableColumn id="3" xr3:uid="{A5952AF7-D10B-4001-8953-0A76E39977E9}" name="ITEM"/>
    <tableColumn id="4" xr3:uid="{7D2256AD-BD1D-404B-84C1-BFB46DEFACCB}" name="UNITS"/>
    <tableColumn id="5" xr3:uid="{41AFC3B1-6468-4A5F-BB03-870E0381DD4E}" name="NAME"/>
    <tableColumn id="6" xr3:uid="{C9F564F0-A502-4034-B837-8DDBACA26618}" name="AGE"/>
    <tableColumn id="7" xr3:uid="{1B88AB8A-2707-46FC-8A48-7FC981E299BC}" name="UNIT COST"/>
    <tableColumn id="8" xr3:uid="{6C431ED2-6F11-4BB8-A4E3-37620936AEF9}" name="TOTAL COST"/>
    <tableColumn id="9" xr3:uid="{988BBE35-FD7F-4EC1-B93C-5725E1D90336}" name="TOTAL SAL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337F950-168B-4CD9-A81C-5E36CAC1B8DD}" sourceName="DATE">
  <pivotTables>
    <pivotTable tabId="31" name="PivotTable5"/>
  </pivotTables>
  <state minimalRefreshVersion="6" lastRefreshVersion="6" pivotCacheId="175456572" filterType="unknown">
    <bounds startDate="2024-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A76FB1C3-D344-4C65-B5C5-5FCF2F826CBE}" cache="NativeTimeline_DATE" caption="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2.xml"/><Relationship Id="rId1" Type="http://schemas.openxmlformats.org/officeDocument/2006/relationships/printerSettings" Target="../printerSettings/printerSettings6.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4.xml"/></Relationships>
</file>

<file path=xl/worksheets/_rels/sheet2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2.xml"/><Relationship Id="rId1" Type="http://schemas.openxmlformats.org/officeDocument/2006/relationships/pivotTable" Target="../pivotTables/pivotTable5.xml"/><Relationship Id="rId4" Type="http://schemas.microsoft.com/office/2011/relationships/timeline" Target="../timelines/timeline1.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7.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6D36B-61CF-4D44-9370-E84EF3E34C03}">
  <sheetPr codeName="Sheet1"/>
  <dimension ref="C8:M34"/>
  <sheetViews>
    <sheetView workbookViewId="0">
      <selection activeCell="E14" sqref="E14"/>
    </sheetView>
  </sheetViews>
  <sheetFormatPr defaultRowHeight="15" x14ac:dyDescent="0.25"/>
  <cols>
    <col min="4" max="4" width="14.5703125" customWidth="1"/>
    <col min="5" max="5" width="15.85546875" bestFit="1" customWidth="1"/>
  </cols>
  <sheetData>
    <row r="8" spans="3:5" x14ac:dyDescent="0.25">
      <c r="C8" s="1">
        <v>1</v>
      </c>
      <c r="D8" t="s">
        <v>0</v>
      </c>
      <c r="E8">
        <f>PI()</f>
        <v>3.1415926535897931</v>
      </c>
    </row>
    <row r="9" spans="3:5" x14ac:dyDescent="0.25">
      <c r="C9" s="1">
        <v>2</v>
      </c>
      <c r="D9" t="s">
        <v>1</v>
      </c>
      <c r="E9" s="2">
        <f ca="1">NOW()</f>
        <v>46247.606862615743</v>
      </c>
    </row>
    <row r="10" spans="3:5" x14ac:dyDescent="0.25">
      <c r="C10" s="1">
        <v>3</v>
      </c>
      <c r="D10" t="s">
        <v>2</v>
      </c>
      <c r="E10" s="3">
        <f ca="1">TODAY()</f>
        <v>46247</v>
      </c>
    </row>
    <row r="11" spans="3:5" x14ac:dyDescent="0.25">
      <c r="C11" s="1">
        <v>4</v>
      </c>
      <c r="D11" t="s">
        <v>3</v>
      </c>
      <c r="E11">
        <f>ROW()</f>
        <v>11</v>
      </c>
    </row>
    <row r="12" spans="3:5" x14ac:dyDescent="0.25">
      <c r="C12" s="1">
        <v>5</v>
      </c>
      <c r="D12" t="s">
        <v>4</v>
      </c>
      <c r="E12">
        <f>COLUMN()</f>
        <v>5</v>
      </c>
    </row>
    <row r="13" spans="3:5" x14ac:dyDescent="0.25">
      <c r="C13" s="1">
        <v>6</v>
      </c>
      <c r="D13" t="s">
        <v>5</v>
      </c>
      <c r="E13">
        <f ca="1">RAND()</f>
        <v>0.93424032456488282</v>
      </c>
    </row>
    <row r="14" spans="3:5" x14ac:dyDescent="0.25">
      <c r="C14" s="1">
        <v>7</v>
      </c>
      <c r="D14" t="s">
        <v>6</v>
      </c>
      <c r="E14">
        <f ca="1">RANDBETWEEN(20,30)</f>
        <v>25</v>
      </c>
    </row>
    <row r="15" spans="3:5" x14ac:dyDescent="0.25">
      <c r="C15" s="1">
        <v>8</v>
      </c>
      <c r="D15" t="s">
        <v>7</v>
      </c>
      <c r="E15">
        <f>LEN(D15)</f>
        <v>3</v>
      </c>
    </row>
    <row r="16" spans="3:5" x14ac:dyDescent="0.25">
      <c r="C16" s="1">
        <v>9</v>
      </c>
      <c r="D16" t="s">
        <v>8</v>
      </c>
      <c r="E16">
        <f>MAX(C8:C27)</f>
        <v>20</v>
      </c>
    </row>
    <row r="17" spans="3:5" x14ac:dyDescent="0.25">
      <c r="C17" s="1">
        <v>10</v>
      </c>
      <c r="D17" t="s">
        <v>9</v>
      </c>
      <c r="E17">
        <f>MIN(C8:C27)</f>
        <v>1</v>
      </c>
    </row>
    <row r="18" spans="3:5" x14ac:dyDescent="0.25">
      <c r="C18" s="1">
        <v>11</v>
      </c>
      <c r="D18" t="s">
        <v>10</v>
      </c>
      <c r="E18">
        <f>AVERAGE(C8:C27)</f>
        <v>10.5</v>
      </c>
    </row>
    <row r="19" spans="3:5" x14ac:dyDescent="0.25">
      <c r="C19" s="1">
        <v>12</v>
      </c>
      <c r="D19" t="s">
        <v>11</v>
      </c>
      <c r="E19" t="str">
        <f>UPPER(D19)</f>
        <v>UPPER</v>
      </c>
    </row>
    <row r="20" spans="3:5" x14ac:dyDescent="0.25">
      <c r="C20" s="1">
        <v>13</v>
      </c>
      <c r="D20" t="s">
        <v>12</v>
      </c>
      <c r="E20" t="str">
        <f>LOWER(D20)</f>
        <v>lower</v>
      </c>
    </row>
    <row r="21" spans="3:5" x14ac:dyDescent="0.25">
      <c r="C21" s="1">
        <v>14</v>
      </c>
      <c r="D21" t="s">
        <v>13</v>
      </c>
      <c r="E21" t="str">
        <f>PROPER(D21)</f>
        <v>Proper</v>
      </c>
    </row>
    <row r="22" spans="3:5" x14ac:dyDescent="0.25">
      <c r="C22" s="1">
        <v>15</v>
      </c>
      <c r="D22" t="s">
        <v>14</v>
      </c>
      <c r="E22">
        <f>COUNT(C19:D23)</f>
        <v>5</v>
      </c>
    </row>
    <row r="23" spans="3:5" x14ac:dyDescent="0.25">
      <c r="C23" s="1">
        <v>16</v>
      </c>
      <c r="D23" t="s">
        <v>15</v>
      </c>
      <c r="E23">
        <f>COUNTA(C19:D23)</f>
        <v>10</v>
      </c>
    </row>
    <row r="24" spans="3:5" x14ac:dyDescent="0.25">
      <c r="C24" s="1">
        <v>17</v>
      </c>
      <c r="D24" t="s">
        <v>16</v>
      </c>
      <c r="E24">
        <f>COUNTBLANK(C22:D27)</f>
        <v>3</v>
      </c>
    </row>
    <row r="25" spans="3:5" x14ac:dyDescent="0.25">
      <c r="C25" s="1">
        <v>18</v>
      </c>
    </row>
    <row r="26" spans="3:5" x14ac:dyDescent="0.25">
      <c r="C26" s="1">
        <v>19</v>
      </c>
    </row>
    <row r="27" spans="3:5" x14ac:dyDescent="0.25">
      <c r="C27" s="1">
        <v>20</v>
      </c>
    </row>
    <row r="34" spans="12:13" x14ac:dyDescent="0.25">
      <c r="L34" t="s">
        <v>139</v>
      </c>
      <c r="M34" t="s">
        <v>611</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5C97D-3BF2-4562-9A5D-0F46659DE953}">
  <sheetPr codeName="Sheet2"/>
  <dimension ref="F7:U33"/>
  <sheetViews>
    <sheetView zoomScaleNormal="100" workbookViewId="0">
      <selection activeCell="W27" sqref="W27"/>
    </sheetView>
  </sheetViews>
  <sheetFormatPr defaultRowHeight="15" x14ac:dyDescent="0.25"/>
  <cols>
    <col min="1" max="5" width="9.140625" style="209"/>
    <col min="6" max="7" width="14.7109375" style="209" bestFit="1" customWidth="1"/>
    <col min="8" max="8" width="10" style="209" customWidth="1"/>
    <col min="9" max="9" width="10.140625" style="209" customWidth="1"/>
    <col min="10" max="10" width="9.140625" style="209"/>
    <col min="11" max="11" width="10" style="209" customWidth="1"/>
    <col min="12" max="12" width="9.140625" style="209"/>
    <col min="13" max="13" width="12.85546875" style="209" customWidth="1"/>
    <col min="14" max="14" width="16.140625" style="209" customWidth="1"/>
    <col min="15" max="15" width="9.140625" style="209"/>
    <col min="16" max="16" width="11.140625" style="209" customWidth="1"/>
    <col min="17" max="17" width="9.140625" style="209"/>
    <col min="18" max="18" width="11.28515625" style="209" customWidth="1"/>
    <col min="19" max="19" width="9.140625" style="209"/>
    <col min="20" max="21" width="15.140625" style="209" bestFit="1" customWidth="1"/>
    <col min="22" max="16384" width="9.140625" style="209"/>
  </cols>
  <sheetData>
    <row r="7" spans="6:21" x14ac:dyDescent="0.25">
      <c r="F7" s="213" t="s">
        <v>17</v>
      </c>
      <c r="G7" s="213" t="s">
        <v>19</v>
      </c>
      <c r="H7" s="213" t="s">
        <v>20</v>
      </c>
      <c r="I7" s="213" t="s">
        <v>18</v>
      </c>
      <c r="J7" s="213" t="s">
        <v>21</v>
      </c>
      <c r="K7" s="213" t="s">
        <v>22</v>
      </c>
      <c r="L7" s="213" t="s">
        <v>23</v>
      </c>
      <c r="M7" s="213" t="s">
        <v>24</v>
      </c>
      <c r="N7" s="213" t="s">
        <v>9</v>
      </c>
      <c r="O7" s="213" t="s">
        <v>8</v>
      </c>
      <c r="P7" s="213" t="s">
        <v>10</v>
      </c>
      <c r="Q7" s="213" t="s">
        <v>25</v>
      </c>
      <c r="R7" s="213" t="s">
        <v>26</v>
      </c>
      <c r="S7" s="213" t="s">
        <v>27</v>
      </c>
      <c r="T7" s="214" t="s">
        <v>604</v>
      </c>
      <c r="U7" s="214" t="s">
        <v>605</v>
      </c>
    </row>
    <row r="8" spans="6:21" x14ac:dyDescent="0.25">
      <c r="F8" s="209" t="s">
        <v>28</v>
      </c>
      <c r="G8" s="209">
        <v>47</v>
      </c>
      <c r="H8" s="209">
        <v>93</v>
      </c>
      <c r="I8" s="209">
        <v>84</v>
      </c>
      <c r="J8" s="209">
        <v>93</v>
      </c>
      <c r="K8" s="209">
        <v>100</v>
      </c>
      <c r="L8" s="209">
        <f>SUM(G8:K8)</f>
        <v>417</v>
      </c>
      <c r="M8" s="209">
        <f>L8/500*100</f>
        <v>83.399999999999991</v>
      </c>
      <c r="N8" s="209">
        <f>MIN(G8:M8)</f>
        <v>47</v>
      </c>
      <c r="O8" s="209">
        <f>MAX(G8:K8)</f>
        <v>100</v>
      </c>
      <c r="P8" s="209">
        <f>AVERAGE(G8:K8)</f>
        <v>83.4</v>
      </c>
      <c r="Q8" s="209">
        <f>RANK(M8,$M$8:$M$17)</f>
        <v>2</v>
      </c>
      <c r="R8" s="209" t="str">
        <f>IF(L8&gt;300,"PASS","FAIL")</f>
        <v>PASS</v>
      </c>
      <c r="S8" s="209" t="str">
        <f>IF(L8&gt;500,"A+",IF(L8&gt;400,"A",IF(L8&gt;300,"B+",IF(L8&gt;200,"B",IF(L8&gt;100,"C+",IF(L8&gt;90,"C","FAIL"))))))</f>
        <v>A</v>
      </c>
      <c r="T8" s="209">
        <f>COUNTIF(G8:K8,"&gt;=50")</f>
        <v>4</v>
      </c>
      <c r="U8" s="209" t="str">
        <f>IF(T8&gt;=5,"PASS",IF(T8&gt;=3,"COMPARTMENT","FAIL"))</f>
        <v>COMPARTMENT</v>
      </c>
    </row>
    <row r="9" spans="6:21" x14ac:dyDescent="0.25">
      <c r="F9" s="209" t="s">
        <v>29</v>
      </c>
      <c r="G9" s="209">
        <v>90</v>
      </c>
      <c r="H9" s="209">
        <v>51</v>
      </c>
      <c r="I9" s="209">
        <v>49</v>
      </c>
      <c r="J9" s="209">
        <v>43</v>
      </c>
      <c r="K9" s="209">
        <v>61</v>
      </c>
      <c r="L9" s="209">
        <f t="shared" ref="L9:L17" si="0">SUM(G9:K9)</f>
        <v>294</v>
      </c>
      <c r="M9" s="209">
        <f t="shared" ref="M9:M17" si="1">L9/500*100</f>
        <v>58.8</v>
      </c>
      <c r="N9" s="209">
        <f t="shared" ref="N9:N17" si="2">MIN(G9:M9)</f>
        <v>43</v>
      </c>
      <c r="O9" s="209">
        <f t="shared" ref="O9:O17" si="3">MAX(G9:K9)</f>
        <v>90</v>
      </c>
      <c r="P9" s="209">
        <f t="shared" ref="P9:P17" si="4">AVERAGE(G9:K9)</f>
        <v>58.8</v>
      </c>
      <c r="Q9" s="209">
        <f t="shared" ref="Q9:Q17" si="5">RANK(M9,$M$8:$M$17)</f>
        <v>8</v>
      </c>
      <c r="R9" s="209" t="str">
        <f t="shared" ref="R9:R17" si="6">IF(L9&gt;300,"PASS","FAIL")</f>
        <v>FAIL</v>
      </c>
      <c r="S9" s="209" t="str">
        <f t="shared" ref="S9:S17" si="7">IF(L9&gt;500,"A+",IF(L9&gt;400,"A",IF(L9&gt;300,"B+",IF(L9&gt;200,"B",IF(L9&gt;100,"C+",IF(L9&gt;90,"C","FAIL"))))))</f>
        <v>B</v>
      </c>
      <c r="T9" s="210">
        <f t="shared" ref="T9:T17" si="8">COUNTIF(G9:K9,"&gt;=50")</f>
        <v>3</v>
      </c>
      <c r="U9" s="237" t="str">
        <f t="shared" ref="U9:U17" si="9">IF(T9&gt;=5,"PASS",IF(T9&gt;=3,"COMPARTMENT","FAIL"))</f>
        <v>COMPARTMENT</v>
      </c>
    </row>
    <row r="10" spans="6:21" x14ac:dyDescent="0.25">
      <c r="F10" s="209" t="s">
        <v>30</v>
      </c>
      <c r="G10" s="209">
        <v>40</v>
      </c>
      <c r="H10" s="209">
        <v>66</v>
      </c>
      <c r="I10" s="209">
        <v>58</v>
      </c>
      <c r="J10" s="209">
        <v>82</v>
      </c>
      <c r="K10" s="209">
        <v>46</v>
      </c>
      <c r="L10" s="209">
        <f t="shared" si="0"/>
        <v>292</v>
      </c>
      <c r="M10" s="209">
        <f t="shared" si="1"/>
        <v>58.4</v>
      </c>
      <c r="N10" s="209">
        <f t="shared" si="2"/>
        <v>40</v>
      </c>
      <c r="O10" s="209">
        <f t="shared" si="3"/>
        <v>82</v>
      </c>
      <c r="P10" s="209">
        <f t="shared" si="4"/>
        <v>58.4</v>
      </c>
      <c r="Q10" s="209">
        <f t="shared" si="5"/>
        <v>9</v>
      </c>
      <c r="R10" s="209" t="str">
        <f t="shared" si="6"/>
        <v>FAIL</v>
      </c>
      <c r="S10" s="209" t="str">
        <f t="shared" si="7"/>
        <v>B</v>
      </c>
      <c r="T10" s="210">
        <f t="shared" si="8"/>
        <v>3</v>
      </c>
      <c r="U10" s="237" t="str">
        <f t="shared" si="9"/>
        <v>COMPARTMENT</v>
      </c>
    </row>
    <row r="11" spans="6:21" x14ac:dyDescent="0.25">
      <c r="F11" s="209" t="s">
        <v>31</v>
      </c>
      <c r="G11" s="209">
        <v>86</v>
      </c>
      <c r="H11" s="209">
        <v>97</v>
      </c>
      <c r="I11" s="209">
        <v>49</v>
      </c>
      <c r="J11" s="209">
        <v>96</v>
      </c>
      <c r="K11" s="209">
        <v>99</v>
      </c>
      <c r="L11" s="209">
        <f t="shared" si="0"/>
        <v>427</v>
      </c>
      <c r="M11" s="209">
        <f t="shared" si="1"/>
        <v>85.399999999999991</v>
      </c>
      <c r="N11" s="209">
        <f t="shared" si="2"/>
        <v>49</v>
      </c>
      <c r="O11" s="209">
        <f t="shared" si="3"/>
        <v>99</v>
      </c>
      <c r="P11" s="209">
        <f t="shared" si="4"/>
        <v>85.4</v>
      </c>
      <c r="Q11" s="209">
        <f t="shared" si="5"/>
        <v>1</v>
      </c>
      <c r="R11" s="209" t="str">
        <f t="shared" si="6"/>
        <v>PASS</v>
      </c>
      <c r="S11" s="209" t="str">
        <f t="shared" si="7"/>
        <v>A</v>
      </c>
      <c r="T11" s="210">
        <f t="shared" si="8"/>
        <v>4</v>
      </c>
      <c r="U11" s="237" t="str">
        <f t="shared" si="9"/>
        <v>COMPARTMENT</v>
      </c>
    </row>
    <row r="12" spans="6:21" x14ac:dyDescent="0.25">
      <c r="F12" s="209" t="s">
        <v>32</v>
      </c>
      <c r="G12" s="209">
        <v>72</v>
      </c>
      <c r="H12" s="209">
        <v>32</v>
      </c>
      <c r="I12" s="209">
        <v>77</v>
      </c>
      <c r="J12" s="209">
        <v>82</v>
      </c>
      <c r="K12" s="209">
        <v>43</v>
      </c>
      <c r="L12" s="209">
        <f t="shared" si="0"/>
        <v>306</v>
      </c>
      <c r="M12" s="209">
        <f t="shared" si="1"/>
        <v>61.199999999999996</v>
      </c>
      <c r="N12" s="209">
        <f t="shared" si="2"/>
        <v>32</v>
      </c>
      <c r="O12" s="209">
        <f t="shared" si="3"/>
        <v>82</v>
      </c>
      <c r="P12" s="209">
        <f t="shared" si="4"/>
        <v>61.2</v>
      </c>
      <c r="Q12" s="209">
        <f t="shared" si="5"/>
        <v>6</v>
      </c>
      <c r="R12" s="209" t="str">
        <f t="shared" si="6"/>
        <v>PASS</v>
      </c>
      <c r="S12" s="209" t="str">
        <f t="shared" si="7"/>
        <v>B+</v>
      </c>
      <c r="T12" s="210">
        <f t="shared" si="8"/>
        <v>3</v>
      </c>
      <c r="U12" s="237" t="str">
        <f t="shared" si="9"/>
        <v>COMPARTMENT</v>
      </c>
    </row>
    <row r="13" spans="6:21" x14ac:dyDescent="0.25">
      <c r="F13" s="209" t="s">
        <v>33</v>
      </c>
      <c r="G13" s="209">
        <v>98</v>
      </c>
      <c r="H13" s="209">
        <v>96</v>
      </c>
      <c r="I13" s="209">
        <v>58</v>
      </c>
      <c r="J13" s="209">
        <v>93</v>
      </c>
      <c r="K13" s="209">
        <v>65</v>
      </c>
      <c r="L13" s="209">
        <f t="shared" si="0"/>
        <v>410</v>
      </c>
      <c r="M13" s="209">
        <f t="shared" si="1"/>
        <v>82</v>
      </c>
      <c r="N13" s="209">
        <f t="shared" si="2"/>
        <v>58</v>
      </c>
      <c r="O13" s="209">
        <f t="shared" si="3"/>
        <v>98</v>
      </c>
      <c r="P13" s="209">
        <f t="shared" si="4"/>
        <v>82</v>
      </c>
      <c r="Q13" s="209">
        <f t="shared" si="5"/>
        <v>3</v>
      </c>
      <c r="R13" s="209" t="str">
        <f t="shared" si="6"/>
        <v>PASS</v>
      </c>
      <c r="S13" s="209" t="str">
        <f t="shared" si="7"/>
        <v>A</v>
      </c>
      <c r="T13" s="210">
        <f t="shared" si="8"/>
        <v>5</v>
      </c>
      <c r="U13" s="237" t="str">
        <f t="shared" si="9"/>
        <v>PASS</v>
      </c>
    </row>
    <row r="14" spans="6:21" x14ac:dyDescent="0.25">
      <c r="F14" s="209" t="s">
        <v>34</v>
      </c>
      <c r="G14" s="209">
        <v>87</v>
      </c>
      <c r="H14" s="209">
        <v>38</v>
      </c>
      <c r="I14" s="209">
        <v>86</v>
      </c>
      <c r="J14" s="209">
        <v>48</v>
      </c>
      <c r="K14" s="209">
        <v>31</v>
      </c>
      <c r="L14" s="209">
        <f t="shared" si="0"/>
        <v>290</v>
      </c>
      <c r="M14" s="209">
        <f t="shared" si="1"/>
        <v>57.999999999999993</v>
      </c>
      <c r="N14" s="209">
        <f t="shared" si="2"/>
        <v>31</v>
      </c>
      <c r="O14" s="209">
        <f t="shared" si="3"/>
        <v>87</v>
      </c>
      <c r="P14" s="209">
        <f t="shared" si="4"/>
        <v>58</v>
      </c>
      <c r="Q14" s="209">
        <f t="shared" si="5"/>
        <v>10</v>
      </c>
      <c r="R14" s="209" t="str">
        <f t="shared" si="6"/>
        <v>FAIL</v>
      </c>
      <c r="S14" s="209" t="str">
        <f t="shared" si="7"/>
        <v>B</v>
      </c>
      <c r="T14" s="210">
        <f t="shared" si="8"/>
        <v>2</v>
      </c>
      <c r="U14" s="237" t="str">
        <f t="shared" si="9"/>
        <v>FAIL</v>
      </c>
    </row>
    <row r="15" spans="6:21" x14ac:dyDescent="0.25">
      <c r="F15" s="209" t="s">
        <v>35</v>
      </c>
      <c r="G15" s="209">
        <v>32</v>
      </c>
      <c r="H15" s="209">
        <v>52</v>
      </c>
      <c r="I15" s="209">
        <v>66</v>
      </c>
      <c r="J15" s="209">
        <v>79</v>
      </c>
      <c r="K15" s="209">
        <v>77</v>
      </c>
      <c r="L15" s="209">
        <f t="shared" si="0"/>
        <v>306</v>
      </c>
      <c r="M15" s="209">
        <f t="shared" si="1"/>
        <v>61.199999999999996</v>
      </c>
      <c r="N15" s="209">
        <f t="shared" si="2"/>
        <v>32</v>
      </c>
      <c r="O15" s="209">
        <f t="shared" si="3"/>
        <v>79</v>
      </c>
      <c r="P15" s="209">
        <f t="shared" si="4"/>
        <v>61.2</v>
      </c>
      <c r="Q15" s="209">
        <f t="shared" si="5"/>
        <v>6</v>
      </c>
      <c r="R15" s="209" t="str">
        <f t="shared" si="6"/>
        <v>PASS</v>
      </c>
      <c r="S15" s="209" t="str">
        <f t="shared" si="7"/>
        <v>B+</v>
      </c>
      <c r="T15" s="210">
        <f t="shared" si="8"/>
        <v>4</v>
      </c>
      <c r="U15" s="237" t="str">
        <f t="shared" si="9"/>
        <v>COMPARTMENT</v>
      </c>
    </row>
    <row r="16" spans="6:21" x14ac:dyDescent="0.25">
      <c r="F16" s="209" t="s">
        <v>36</v>
      </c>
      <c r="G16" s="209">
        <v>66</v>
      </c>
      <c r="H16" s="209">
        <v>73</v>
      </c>
      <c r="I16" s="209">
        <v>68</v>
      </c>
      <c r="J16" s="209">
        <v>80</v>
      </c>
      <c r="K16" s="209">
        <v>77</v>
      </c>
      <c r="L16" s="209">
        <f t="shared" si="0"/>
        <v>364</v>
      </c>
      <c r="M16" s="209">
        <f t="shared" si="1"/>
        <v>72.8</v>
      </c>
      <c r="N16" s="209">
        <f t="shared" si="2"/>
        <v>66</v>
      </c>
      <c r="O16" s="209">
        <f t="shared" si="3"/>
        <v>80</v>
      </c>
      <c r="P16" s="209">
        <f t="shared" si="4"/>
        <v>72.8</v>
      </c>
      <c r="Q16" s="209">
        <f t="shared" si="5"/>
        <v>4</v>
      </c>
      <c r="R16" s="209" t="str">
        <f t="shared" si="6"/>
        <v>PASS</v>
      </c>
      <c r="S16" s="209" t="str">
        <f t="shared" si="7"/>
        <v>B+</v>
      </c>
      <c r="T16" s="210">
        <f t="shared" si="8"/>
        <v>5</v>
      </c>
      <c r="U16" s="237" t="str">
        <f t="shared" si="9"/>
        <v>PASS</v>
      </c>
    </row>
    <row r="17" spans="6:21" x14ac:dyDescent="0.25">
      <c r="F17" s="209" t="s">
        <v>38</v>
      </c>
      <c r="G17" s="209">
        <v>48</v>
      </c>
      <c r="H17" s="209">
        <v>87</v>
      </c>
      <c r="I17" s="209">
        <v>47</v>
      </c>
      <c r="J17" s="209">
        <v>80</v>
      </c>
      <c r="K17" s="209">
        <v>73</v>
      </c>
      <c r="L17" s="209">
        <f t="shared" si="0"/>
        <v>335</v>
      </c>
      <c r="M17" s="209">
        <f t="shared" si="1"/>
        <v>67</v>
      </c>
      <c r="N17" s="209">
        <f t="shared" si="2"/>
        <v>47</v>
      </c>
      <c r="O17" s="209">
        <f t="shared" si="3"/>
        <v>87</v>
      </c>
      <c r="P17" s="209">
        <f t="shared" si="4"/>
        <v>67</v>
      </c>
      <c r="Q17" s="209">
        <f t="shared" si="5"/>
        <v>5</v>
      </c>
      <c r="R17" s="209" t="str">
        <f t="shared" si="6"/>
        <v>PASS</v>
      </c>
      <c r="S17" s="209" t="str">
        <f t="shared" si="7"/>
        <v>B+</v>
      </c>
      <c r="T17" s="210">
        <f t="shared" si="8"/>
        <v>3</v>
      </c>
      <c r="U17" s="237" t="str">
        <f t="shared" si="9"/>
        <v>COMPARTMENT</v>
      </c>
    </row>
    <row r="23" spans="6:21" x14ac:dyDescent="0.25">
      <c r="F23" s="213" t="s">
        <v>17</v>
      </c>
      <c r="G23" s="213" t="s">
        <v>19</v>
      </c>
      <c r="H23" s="213" t="s">
        <v>20</v>
      </c>
      <c r="I23" s="213" t="s">
        <v>18</v>
      </c>
      <c r="J23" s="213" t="s">
        <v>21</v>
      </c>
      <c r="K23" s="213" t="s">
        <v>22</v>
      </c>
      <c r="L23" s="213" t="s">
        <v>23</v>
      </c>
      <c r="M23" s="213" t="s">
        <v>24</v>
      </c>
      <c r="N23" s="213" t="s">
        <v>9</v>
      </c>
      <c r="O23" s="213" t="s">
        <v>8</v>
      </c>
      <c r="P23" s="213" t="s">
        <v>10</v>
      </c>
      <c r="Q23" s="213" t="s">
        <v>25</v>
      </c>
      <c r="R23" s="213" t="s">
        <v>26</v>
      </c>
      <c r="S23" s="213" t="s">
        <v>27</v>
      </c>
      <c r="T23" s="214" t="s">
        <v>604</v>
      </c>
      <c r="U23" s="214" t="s">
        <v>605</v>
      </c>
    </row>
    <row r="24" spans="6:21" x14ac:dyDescent="0.25">
      <c r="F24" s="220" t="s">
        <v>28</v>
      </c>
      <c r="G24" s="209">
        <v>39</v>
      </c>
      <c r="H24" s="220">
        <v>77</v>
      </c>
      <c r="I24" s="220">
        <v>64</v>
      </c>
      <c r="J24" s="220">
        <v>65</v>
      </c>
      <c r="K24" s="220">
        <v>56</v>
      </c>
      <c r="L24" s="209">
        <f>SUM(G24:K24)</f>
        <v>301</v>
      </c>
      <c r="M24" s="209">
        <f>L24/500*100</f>
        <v>60.199999999999996</v>
      </c>
      <c r="N24" s="209">
        <f>MIN(G24:K24)</f>
        <v>39</v>
      </c>
      <c r="O24" s="209">
        <f>MAX(G24:K24)</f>
        <v>77</v>
      </c>
      <c r="P24" s="209">
        <f>AVERAGE(G24:K24)</f>
        <v>60.2</v>
      </c>
      <c r="Q24" s="209">
        <f>RANK(M24,$M$24:$M$33)</f>
        <v>7</v>
      </c>
      <c r="R24" s="209" t="str">
        <f>IF(L24&gt;250,"pass","fail")</f>
        <v>pass</v>
      </c>
      <c r="S24" s="209" t="str">
        <f>IF(L24&gt;500,"a+",IF(L24&gt;400,"b+",IF(L24&gt;300,"c+",IF(L24&gt;100,"d+"))))</f>
        <v>c+</v>
      </c>
      <c r="T24" s="209">
        <f>COUNTIF(G24:K24,"&gt;33")</f>
        <v>5</v>
      </c>
      <c r="U24" s="209" t="str">
        <f>IF(T24&gt;=5,"pass",IF(T24&gt;=3,"compartment","fail"))</f>
        <v>pass</v>
      </c>
    </row>
    <row r="25" spans="6:21" x14ac:dyDescent="0.25">
      <c r="F25" s="220" t="s">
        <v>29</v>
      </c>
      <c r="G25" s="220">
        <v>41</v>
      </c>
      <c r="H25" s="220">
        <v>73</v>
      </c>
      <c r="I25" s="220">
        <v>92</v>
      </c>
      <c r="J25" s="220">
        <v>82</v>
      </c>
      <c r="K25" s="220">
        <v>97</v>
      </c>
      <c r="L25" s="236">
        <f t="shared" ref="L25:L33" si="10">SUM(G25:K25)</f>
        <v>385</v>
      </c>
      <c r="M25" s="236">
        <f t="shared" ref="M25:M33" si="11">L25/500*100</f>
        <v>77</v>
      </c>
      <c r="N25" s="236">
        <f t="shared" ref="N25:N33" si="12">MIN(G25:K25)</f>
        <v>41</v>
      </c>
      <c r="O25" s="236">
        <f t="shared" ref="O25:O33" si="13">MAX(G25:K25)</f>
        <v>97</v>
      </c>
      <c r="P25" s="236">
        <f t="shared" ref="P25:P33" si="14">AVERAGE(G25:K25)</f>
        <v>77</v>
      </c>
      <c r="Q25" s="236">
        <f t="shared" ref="Q25:Q33" si="15">RANK(M25,$M$24:$M$33)</f>
        <v>1</v>
      </c>
      <c r="R25" s="237" t="str">
        <f t="shared" ref="R25:R33" si="16">IF(L25&gt;250,"pass","fail")</f>
        <v>pass</v>
      </c>
      <c r="S25" s="236" t="str">
        <f t="shared" ref="S25:S33" si="17">IF(L25&gt;500,"a+",IF(L25&gt;400,"b+",IF(L25&gt;300,"c+",IF(L25&gt;100,"d+"))))</f>
        <v>c+</v>
      </c>
      <c r="T25" s="236">
        <f t="shared" ref="T25:T33" si="18">COUNTIF(G25:K25,"&gt;33")</f>
        <v>5</v>
      </c>
      <c r="U25" s="237" t="str">
        <f t="shared" ref="U25:U33" si="19">IF(T25&gt;=5,"pass",IF(T25&gt;=3,"compartment","fail"))</f>
        <v>pass</v>
      </c>
    </row>
    <row r="26" spans="6:21" x14ac:dyDescent="0.25">
      <c r="F26" s="220" t="s">
        <v>30</v>
      </c>
      <c r="G26" s="220">
        <v>48</v>
      </c>
      <c r="H26" s="220">
        <v>49</v>
      </c>
      <c r="I26" s="220">
        <v>40</v>
      </c>
      <c r="J26" s="220">
        <v>75</v>
      </c>
      <c r="K26" s="220">
        <v>38</v>
      </c>
      <c r="L26" s="236">
        <f t="shared" si="10"/>
        <v>250</v>
      </c>
      <c r="M26" s="236">
        <f t="shared" si="11"/>
        <v>50</v>
      </c>
      <c r="N26" s="236">
        <f t="shared" si="12"/>
        <v>38</v>
      </c>
      <c r="O26" s="236">
        <f t="shared" si="13"/>
        <v>75</v>
      </c>
      <c r="P26" s="236">
        <f t="shared" si="14"/>
        <v>50</v>
      </c>
      <c r="Q26" s="236">
        <f t="shared" si="15"/>
        <v>10</v>
      </c>
      <c r="R26" s="237" t="str">
        <f t="shared" si="16"/>
        <v>fail</v>
      </c>
      <c r="S26" s="236" t="str">
        <f t="shared" si="17"/>
        <v>d+</v>
      </c>
      <c r="T26" s="236">
        <f t="shared" si="18"/>
        <v>5</v>
      </c>
      <c r="U26" s="237" t="str">
        <f t="shared" si="19"/>
        <v>pass</v>
      </c>
    </row>
    <row r="27" spans="6:21" x14ac:dyDescent="0.25">
      <c r="F27" s="220" t="s">
        <v>31</v>
      </c>
      <c r="G27" s="220">
        <v>99</v>
      </c>
      <c r="H27" s="220">
        <v>70</v>
      </c>
      <c r="I27" s="220">
        <v>40</v>
      </c>
      <c r="J27" s="220">
        <v>40</v>
      </c>
      <c r="K27" s="220">
        <v>58</v>
      </c>
      <c r="L27" s="236">
        <f t="shared" si="10"/>
        <v>307</v>
      </c>
      <c r="M27" s="236">
        <f t="shared" si="11"/>
        <v>61.4</v>
      </c>
      <c r="N27" s="236">
        <f t="shared" si="12"/>
        <v>40</v>
      </c>
      <c r="O27" s="236">
        <f t="shared" si="13"/>
        <v>99</v>
      </c>
      <c r="P27" s="236">
        <f t="shared" si="14"/>
        <v>61.4</v>
      </c>
      <c r="Q27" s="236">
        <f t="shared" si="15"/>
        <v>6</v>
      </c>
      <c r="R27" s="237" t="str">
        <f t="shared" si="16"/>
        <v>pass</v>
      </c>
      <c r="S27" s="236" t="str">
        <f t="shared" si="17"/>
        <v>c+</v>
      </c>
      <c r="T27" s="236">
        <f t="shared" si="18"/>
        <v>5</v>
      </c>
      <c r="U27" s="237" t="str">
        <f t="shared" si="19"/>
        <v>pass</v>
      </c>
    </row>
    <row r="28" spans="6:21" x14ac:dyDescent="0.25">
      <c r="F28" s="220" t="s">
        <v>32</v>
      </c>
      <c r="G28" s="220">
        <v>38</v>
      </c>
      <c r="H28" s="220">
        <v>82</v>
      </c>
      <c r="I28" s="220">
        <v>40</v>
      </c>
      <c r="J28" s="220">
        <v>55</v>
      </c>
      <c r="K28" s="220">
        <v>69</v>
      </c>
      <c r="L28" s="236">
        <f t="shared" si="10"/>
        <v>284</v>
      </c>
      <c r="M28" s="236">
        <f t="shared" si="11"/>
        <v>56.8</v>
      </c>
      <c r="N28" s="236">
        <f t="shared" si="12"/>
        <v>38</v>
      </c>
      <c r="O28" s="236">
        <f t="shared" si="13"/>
        <v>82</v>
      </c>
      <c r="P28" s="236">
        <f t="shared" si="14"/>
        <v>56.8</v>
      </c>
      <c r="Q28" s="236">
        <f t="shared" si="15"/>
        <v>8</v>
      </c>
      <c r="R28" s="237" t="str">
        <f t="shared" si="16"/>
        <v>pass</v>
      </c>
      <c r="S28" s="236" t="str">
        <f t="shared" si="17"/>
        <v>d+</v>
      </c>
      <c r="T28" s="236">
        <f t="shared" si="18"/>
        <v>5</v>
      </c>
      <c r="U28" s="237" t="str">
        <f t="shared" si="19"/>
        <v>pass</v>
      </c>
    </row>
    <row r="29" spans="6:21" x14ac:dyDescent="0.25">
      <c r="F29" s="220" t="s">
        <v>33</v>
      </c>
      <c r="G29" s="220">
        <v>81</v>
      </c>
      <c r="H29" s="220">
        <v>41</v>
      </c>
      <c r="I29" s="220">
        <v>54</v>
      </c>
      <c r="J29" s="220">
        <v>96</v>
      </c>
      <c r="K29" s="220">
        <v>44</v>
      </c>
      <c r="L29" s="236">
        <f t="shared" si="10"/>
        <v>316</v>
      </c>
      <c r="M29" s="236">
        <f t="shared" si="11"/>
        <v>63.2</v>
      </c>
      <c r="N29" s="236">
        <f t="shared" si="12"/>
        <v>41</v>
      </c>
      <c r="O29" s="236">
        <f t="shared" si="13"/>
        <v>96</v>
      </c>
      <c r="P29" s="236">
        <f t="shared" si="14"/>
        <v>63.2</v>
      </c>
      <c r="Q29" s="236">
        <f t="shared" si="15"/>
        <v>4</v>
      </c>
      <c r="R29" s="237" t="str">
        <f t="shared" si="16"/>
        <v>pass</v>
      </c>
      <c r="S29" s="236" t="str">
        <f t="shared" si="17"/>
        <v>c+</v>
      </c>
      <c r="T29" s="236">
        <f t="shared" si="18"/>
        <v>5</v>
      </c>
      <c r="U29" s="237" t="str">
        <f t="shared" si="19"/>
        <v>pass</v>
      </c>
    </row>
    <row r="30" spans="6:21" x14ac:dyDescent="0.25">
      <c r="F30" s="220" t="s">
        <v>34</v>
      </c>
      <c r="G30" s="220">
        <v>53</v>
      </c>
      <c r="H30" s="220">
        <v>31</v>
      </c>
      <c r="I30" s="220">
        <v>96</v>
      </c>
      <c r="J30" s="220">
        <v>92</v>
      </c>
      <c r="K30" s="220">
        <v>59</v>
      </c>
      <c r="L30" s="236">
        <f t="shared" si="10"/>
        <v>331</v>
      </c>
      <c r="M30" s="236">
        <f t="shared" si="11"/>
        <v>66.2</v>
      </c>
      <c r="N30" s="236">
        <f t="shared" si="12"/>
        <v>31</v>
      </c>
      <c r="O30" s="236">
        <f t="shared" si="13"/>
        <v>96</v>
      </c>
      <c r="P30" s="236">
        <f t="shared" si="14"/>
        <v>66.2</v>
      </c>
      <c r="Q30" s="236">
        <f t="shared" si="15"/>
        <v>2</v>
      </c>
      <c r="R30" s="237" t="str">
        <f t="shared" si="16"/>
        <v>pass</v>
      </c>
      <c r="S30" s="236" t="str">
        <f t="shared" si="17"/>
        <v>c+</v>
      </c>
      <c r="T30" s="236">
        <f t="shared" si="18"/>
        <v>4</v>
      </c>
      <c r="U30" s="237" t="str">
        <f t="shared" si="19"/>
        <v>compartment</v>
      </c>
    </row>
    <row r="31" spans="6:21" x14ac:dyDescent="0.25">
      <c r="F31" s="220" t="s">
        <v>35</v>
      </c>
      <c r="G31" s="220">
        <v>71</v>
      </c>
      <c r="H31" s="220">
        <v>41</v>
      </c>
      <c r="I31" s="220">
        <v>30</v>
      </c>
      <c r="J31" s="220">
        <v>71</v>
      </c>
      <c r="K31" s="220">
        <v>61</v>
      </c>
      <c r="L31" s="236">
        <f t="shared" si="10"/>
        <v>274</v>
      </c>
      <c r="M31" s="236">
        <f t="shared" si="11"/>
        <v>54.800000000000004</v>
      </c>
      <c r="N31" s="236">
        <f t="shared" si="12"/>
        <v>30</v>
      </c>
      <c r="O31" s="236">
        <f t="shared" si="13"/>
        <v>71</v>
      </c>
      <c r="P31" s="236">
        <f t="shared" si="14"/>
        <v>54.8</v>
      </c>
      <c r="Q31" s="236">
        <f t="shared" si="15"/>
        <v>9</v>
      </c>
      <c r="R31" s="237" t="str">
        <f t="shared" si="16"/>
        <v>pass</v>
      </c>
      <c r="S31" s="236" t="str">
        <f t="shared" si="17"/>
        <v>d+</v>
      </c>
      <c r="T31" s="236">
        <f t="shared" si="18"/>
        <v>4</v>
      </c>
      <c r="U31" s="237" t="str">
        <f t="shared" si="19"/>
        <v>compartment</v>
      </c>
    </row>
    <row r="32" spans="6:21" x14ac:dyDescent="0.25">
      <c r="F32" s="220" t="s">
        <v>36</v>
      </c>
      <c r="G32" s="220">
        <v>92</v>
      </c>
      <c r="H32" s="220">
        <v>83</v>
      </c>
      <c r="I32" s="220">
        <v>77</v>
      </c>
      <c r="J32" s="220">
        <v>30</v>
      </c>
      <c r="K32" s="220">
        <v>40</v>
      </c>
      <c r="L32" s="236">
        <f t="shared" si="10"/>
        <v>322</v>
      </c>
      <c r="M32" s="236">
        <f t="shared" si="11"/>
        <v>64.400000000000006</v>
      </c>
      <c r="N32" s="236">
        <f t="shared" si="12"/>
        <v>30</v>
      </c>
      <c r="O32" s="236">
        <f t="shared" si="13"/>
        <v>92</v>
      </c>
      <c r="P32" s="236">
        <f t="shared" si="14"/>
        <v>64.400000000000006</v>
      </c>
      <c r="Q32" s="236">
        <f t="shared" si="15"/>
        <v>3</v>
      </c>
      <c r="R32" s="237" t="str">
        <f t="shared" si="16"/>
        <v>pass</v>
      </c>
      <c r="S32" s="236" t="str">
        <f t="shared" si="17"/>
        <v>c+</v>
      </c>
      <c r="T32" s="236">
        <f t="shared" si="18"/>
        <v>4</v>
      </c>
      <c r="U32" s="237" t="str">
        <f t="shared" si="19"/>
        <v>compartment</v>
      </c>
    </row>
    <row r="33" spans="6:21" x14ac:dyDescent="0.25">
      <c r="F33" s="220" t="s">
        <v>38</v>
      </c>
      <c r="G33" s="220">
        <v>41</v>
      </c>
      <c r="H33" s="220">
        <v>61</v>
      </c>
      <c r="I33" s="220">
        <v>60</v>
      </c>
      <c r="J33" s="220">
        <v>62</v>
      </c>
      <c r="K33" s="220">
        <v>90</v>
      </c>
      <c r="L33" s="236">
        <f t="shared" si="10"/>
        <v>314</v>
      </c>
      <c r="M33" s="236">
        <f t="shared" si="11"/>
        <v>62.8</v>
      </c>
      <c r="N33" s="236">
        <f t="shared" si="12"/>
        <v>41</v>
      </c>
      <c r="O33" s="236">
        <f t="shared" si="13"/>
        <v>90</v>
      </c>
      <c r="P33" s="236">
        <f t="shared" si="14"/>
        <v>62.8</v>
      </c>
      <c r="Q33" s="236">
        <f t="shared" si="15"/>
        <v>5</v>
      </c>
      <c r="R33" s="237" t="str">
        <f t="shared" si="16"/>
        <v>pass</v>
      </c>
      <c r="S33" s="236" t="str">
        <f t="shared" si="17"/>
        <v>c+</v>
      </c>
      <c r="T33" s="236">
        <f t="shared" si="18"/>
        <v>5</v>
      </c>
      <c r="U33" s="237" t="str">
        <f t="shared" si="19"/>
        <v>pass</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A0237-99D0-4A54-AE54-930CD3BF816B}">
  <sheetPr codeName="Sheet3"/>
  <dimension ref="B3:X28"/>
  <sheetViews>
    <sheetView topLeftCell="F13" workbookViewId="0">
      <selection activeCell="N31" sqref="N31"/>
    </sheetView>
  </sheetViews>
  <sheetFormatPr defaultRowHeight="15" x14ac:dyDescent="0.25"/>
  <cols>
    <col min="2" max="2" width="12.28515625" customWidth="1"/>
    <col min="4" max="4" width="10.7109375" bestFit="1" customWidth="1"/>
    <col min="6" max="6" width="18.5703125" customWidth="1"/>
    <col min="10" max="10" width="13.5703125" customWidth="1"/>
    <col min="12" max="12" width="11.85546875" customWidth="1"/>
    <col min="16" max="16" width="15" customWidth="1"/>
    <col min="19" max="19" width="13.140625" customWidth="1"/>
    <col min="21" max="21" width="11.85546875" customWidth="1"/>
    <col min="22" max="22" width="19.7109375" customWidth="1"/>
    <col min="23" max="23" width="10.7109375" bestFit="1" customWidth="1"/>
    <col min="24" max="24" width="55.42578125" customWidth="1"/>
  </cols>
  <sheetData>
    <row r="3" spans="2:23" x14ac:dyDescent="0.25">
      <c r="F3" s="34"/>
    </row>
    <row r="7" spans="2:23" ht="31.5" customHeight="1" x14ac:dyDescent="0.25">
      <c r="B7" s="5" t="s">
        <v>64</v>
      </c>
      <c r="D7" s="8"/>
      <c r="E7" s="9"/>
      <c r="J7" s="5" t="s">
        <v>67</v>
      </c>
      <c r="S7" s="7" t="s">
        <v>84</v>
      </c>
      <c r="U7" s="4" t="s">
        <v>85</v>
      </c>
      <c r="V7" s="4"/>
      <c r="W7" s="4" t="s">
        <v>86</v>
      </c>
    </row>
    <row r="8" spans="2:23" x14ac:dyDescent="0.25">
      <c r="B8" s="10"/>
      <c r="D8" s="3">
        <f>EDATE(B9,B10)</f>
        <v>46864</v>
      </c>
      <c r="F8" t="str">
        <f ca="1">_xlfn.FORMULATEXT(D8)</f>
        <v>=EDATE(B9,B10)</v>
      </c>
      <c r="U8" s="3">
        <v>44551</v>
      </c>
      <c r="W8" s="3">
        <v>45647</v>
      </c>
    </row>
    <row r="9" spans="2:23" x14ac:dyDescent="0.25">
      <c r="B9" s="10">
        <v>45647</v>
      </c>
      <c r="D9" s="3">
        <f>EOMONTH(B9,B10)</f>
        <v>46873</v>
      </c>
      <c r="F9" t="str">
        <f ca="1">_xlfn.FORMULATEXT(D9)</f>
        <v>=EOMONTH(B9,B10)</v>
      </c>
      <c r="J9" s="10">
        <v>45647</v>
      </c>
      <c r="L9" t="s">
        <v>68</v>
      </c>
      <c r="N9" t="str">
        <f>TEXT(J9,L9)</f>
        <v>21</v>
      </c>
      <c r="P9" t="str">
        <f ca="1">_xlfn.FORMULATEXT(N9)</f>
        <v>=TEXT(J9,L9)</v>
      </c>
    </row>
    <row r="10" spans="2:23" x14ac:dyDescent="0.25">
      <c r="B10">
        <v>40</v>
      </c>
      <c r="L10" t="s">
        <v>69</v>
      </c>
      <c r="N10" t="str">
        <f>TEXT(J9,L10)</f>
        <v>Sat</v>
      </c>
      <c r="P10" t="str">
        <f t="shared" ref="P10:P18" ca="1" si="0">_xlfn.FORMULATEXT(N10)</f>
        <v>=TEXT(J9,L10)</v>
      </c>
      <c r="T10">
        <f>DATEDIF(U8,W8,"D")</f>
        <v>1096</v>
      </c>
      <c r="V10" t="str">
        <f ca="1">_xlfn.FORMULATEXT(T10)</f>
        <v>=DATEDIF(U8,W8,"D")</v>
      </c>
    </row>
    <row r="11" spans="2:23" x14ac:dyDescent="0.25">
      <c r="L11" t="s">
        <v>70</v>
      </c>
      <c r="N11" t="str">
        <f>TEXT(J9,L11)</f>
        <v>Saturday</v>
      </c>
      <c r="P11" t="str">
        <f t="shared" ca="1" si="0"/>
        <v>=TEXT(J9,L11)</v>
      </c>
      <c r="T11">
        <f>DATEDIF(U8,W8,"m")</f>
        <v>36</v>
      </c>
      <c r="V11" t="str">
        <f t="shared" ref="V11:V12" ca="1" si="1">_xlfn.FORMULATEXT(T11)</f>
        <v>=DATEDIF(U8,W8,"m")</v>
      </c>
    </row>
    <row r="12" spans="2:23" x14ac:dyDescent="0.25">
      <c r="T12">
        <f>DATEDIF(U8,W8,"y")</f>
        <v>3</v>
      </c>
      <c r="V12" t="str">
        <f t="shared" ca="1" si="1"/>
        <v>=DATEDIF(U8,W8,"y")</v>
      </c>
    </row>
    <row r="13" spans="2:23" ht="30" x14ac:dyDescent="0.25">
      <c r="B13" s="5" t="s">
        <v>66</v>
      </c>
      <c r="L13" t="s">
        <v>71</v>
      </c>
      <c r="N13" t="str">
        <f>TEXT(J9,L13)</f>
        <v>12</v>
      </c>
      <c r="P13" t="str">
        <f t="shared" ca="1" si="0"/>
        <v>=TEXT(J9,L13)</v>
      </c>
    </row>
    <row r="14" spans="2:23" x14ac:dyDescent="0.25">
      <c r="B14" s="12">
        <v>0.85972222222222228</v>
      </c>
      <c r="D14">
        <f>HOUR(B14)</f>
        <v>20</v>
      </c>
      <c r="F14" t="str">
        <f ca="1">_xlfn.FORMULATEXT(D14)</f>
        <v>=HOUR(B14)</v>
      </c>
      <c r="L14" t="s">
        <v>72</v>
      </c>
      <c r="N14" t="str">
        <f>TEXT(J9,L14)</f>
        <v>Dec</v>
      </c>
      <c r="P14" t="str">
        <f t="shared" ca="1" si="0"/>
        <v>=TEXT(J9,L14)</v>
      </c>
      <c r="S14" s="6" t="s">
        <v>87</v>
      </c>
    </row>
    <row r="15" spans="2:23" x14ac:dyDescent="0.25">
      <c r="D15">
        <f>MINUTE(B14)</f>
        <v>38</v>
      </c>
      <c r="F15" t="str">
        <f t="shared" ref="F15:F17" ca="1" si="2">_xlfn.FORMULATEXT(D15)</f>
        <v>=MINUTE(B14)</v>
      </c>
      <c r="L15" t="s">
        <v>73</v>
      </c>
      <c r="N15" t="str">
        <f>TEXT(J9,L15)</f>
        <v>December</v>
      </c>
      <c r="P15" t="str">
        <f t="shared" ca="1" si="0"/>
        <v>=TEXT(J9,L15)</v>
      </c>
    </row>
    <row r="16" spans="2:23" x14ac:dyDescent="0.25">
      <c r="D16">
        <f>SECOND(B14)</f>
        <v>0</v>
      </c>
      <c r="F16" t="str">
        <f t="shared" ca="1" si="2"/>
        <v>=SECOND(B14)</v>
      </c>
      <c r="S16" s="17" t="s">
        <v>88</v>
      </c>
      <c r="T16" s="17" t="s">
        <v>89</v>
      </c>
      <c r="U16" s="17" t="s">
        <v>90</v>
      </c>
      <c r="V16" s="17" t="s">
        <v>91</v>
      </c>
      <c r="W16" s="17" t="s">
        <v>92</v>
      </c>
    </row>
    <row r="17" spans="2:24" x14ac:dyDescent="0.25">
      <c r="D17" s="13">
        <f>TIME(D14,D15,D16)</f>
        <v>0.85972222222222228</v>
      </c>
      <c r="F17" t="str">
        <f t="shared" ca="1" si="2"/>
        <v>=TIME(D14,D15,D16)</v>
      </c>
      <c r="L17" t="s">
        <v>74</v>
      </c>
      <c r="N17" t="str">
        <f>TEXT(J9,L17)</f>
        <v>24</v>
      </c>
      <c r="P17" t="str">
        <f t="shared" ca="1" si="0"/>
        <v>=TEXT(J9,L17)</v>
      </c>
      <c r="S17" s="18">
        <v>0.375</v>
      </c>
      <c r="T17" s="16">
        <v>9</v>
      </c>
      <c r="U17" s="16">
        <v>0</v>
      </c>
      <c r="V17" s="16">
        <v>0</v>
      </c>
      <c r="W17" s="19">
        <f>TIME(HOUR(S17)+T17,MINUTE(S17)+U17,SECOND(S17)+V17)</f>
        <v>0.75</v>
      </c>
      <c r="X17" t="str">
        <f ca="1">_xlfn.FORMULATEXT(W17)</f>
        <v>=TIME(HOUR(S17)+T17,MINUTE(S17)+U17,SECOND(S17)+V17)</v>
      </c>
    </row>
    <row r="18" spans="2:24" x14ac:dyDescent="0.25">
      <c r="L18" t="s">
        <v>75</v>
      </c>
      <c r="N18" t="str">
        <f>TEXT(J9,L18)</f>
        <v>2024</v>
      </c>
      <c r="P18" t="str">
        <f t="shared" ca="1" si="0"/>
        <v>=TEXT(J9,L18)</v>
      </c>
      <c r="S18" s="18">
        <v>0.375</v>
      </c>
      <c r="T18" s="16">
        <v>9</v>
      </c>
      <c r="U18" s="16">
        <v>25</v>
      </c>
      <c r="V18" s="16">
        <v>0</v>
      </c>
      <c r="W18" s="19">
        <f t="shared" ref="W18:W20" si="3">TIME(HOUR(S18)+T18,MINUTE(S18)+U18,SECOND(S18)+V18)</f>
        <v>0.76736111111111116</v>
      </c>
    </row>
    <row r="19" spans="2:24" x14ac:dyDescent="0.25">
      <c r="S19" s="18">
        <v>4.1666666666666664E-2</v>
      </c>
      <c r="T19" s="16">
        <v>9</v>
      </c>
      <c r="U19" s="16">
        <v>0</v>
      </c>
      <c r="V19" s="16">
        <v>0</v>
      </c>
      <c r="W19" s="19">
        <f t="shared" si="3"/>
        <v>0.41666666666666669</v>
      </c>
    </row>
    <row r="20" spans="2:24" ht="30" x14ac:dyDescent="0.25">
      <c r="B20" s="5" t="s">
        <v>65</v>
      </c>
      <c r="J20" s="14" t="s">
        <v>76</v>
      </c>
      <c r="S20" s="18">
        <v>0.47916666666666669</v>
      </c>
      <c r="T20" s="16">
        <v>9</v>
      </c>
      <c r="U20" s="16">
        <v>3</v>
      </c>
      <c r="V20" s="16">
        <v>0</v>
      </c>
      <c r="W20" s="19">
        <f t="shared" si="3"/>
        <v>0.85624999999999996</v>
      </c>
    </row>
    <row r="21" spans="2:24" x14ac:dyDescent="0.25">
      <c r="B21" s="3">
        <v>45647</v>
      </c>
      <c r="D21">
        <f>DAY(B21)</f>
        <v>21</v>
      </c>
      <c r="F21" t="str">
        <f ca="1">_xlfn.FORMULATEXT(D21)</f>
        <v>=DAY(B21)</v>
      </c>
    </row>
    <row r="22" spans="2:24" x14ac:dyDescent="0.25">
      <c r="B22" s="3"/>
      <c r="D22">
        <f>MONTH(B21)</f>
        <v>12</v>
      </c>
      <c r="F22" t="str">
        <f t="shared" ref="F22:F24" ca="1" si="4">_xlfn.FORMULATEXT(D22)</f>
        <v>=MONTH(B21)</v>
      </c>
      <c r="J22" s="3">
        <v>45647</v>
      </c>
      <c r="K22">
        <v>1</v>
      </c>
      <c r="L22" t="s">
        <v>77</v>
      </c>
      <c r="N22">
        <f>WEEKDAY(J22)</f>
        <v>7</v>
      </c>
      <c r="P22" t="str">
        <f ca="1">_xlfn.FORMULATEXT(N22)</f>
        <v>=WEEKDAY(J22)</v>
      </c>
    </row>
    <row r="23" spans="2:24" ht="30" x14ac:dyDescent="0.25">
      <c r="D23">
        <f>YEAR(B21)</f>
        <v>2024</v>
      </c>
      <c r="F23" t="str">
        <f t="shared" ca="1" si="4"/>
        <v>=YEAR(B21)</v>
      </c>
      <c r="K23">
        <v>2</v>
      </c>
      <c r="L23" t="s">
        <v>78</v>
      </c>
      <c r="N23">
        <f>WEEKNUM(J22)</f>
        <v>51</v>
      </c>
      <c r="P23" t="str">
        <f ca="1">_xlfn.FORMULATEXT(N23)</f>
        <v>=WEEKNUM(J22)</v>
      </c>
      <c r="S23" s="5" t="s">
        <v>93</v>
      </c>
    </row>
    <row r="24" spans="2:24" x14ac:dyDescent="0.25">
      <c r="D24" s="3">
        <f>DATE(D23,D22,D21)</f>
        <v>45647</v>
      </c>
      <c r="F24" t="str">
        <f t="shared" ca="1" si="4"/>
        <v>=DATE(D23,D22,D21)</v>
      </c>
      <c r="K24">
        <v>3</v>
      </c>
      <c r="L24" t="s">
        <v>79</v>
      </c>
    </row>
    <row r="25" spans="2:24" x14ac:dyDescent="0.25">
      <c r="K25">
        <v>4</v>
      </c>
      <c r="L25" t="s">
        <v>80</v>
      </c>
      <c r="S25" s="10">
        <v>45292</v>
      </c>
      <c r="U25">
        <f>NETWORKDAYS(S25,S27)</f>
        <v>249</v>
      </c>
      <c r="V25" t="str">
        <f ca="1">_xlfn.FORMULATEXT(U25)</f>
        <v>=NETWORKDAYS(S25,S27)</v>
      </c>
    </row>
    <row r="26" spans="2:24" x14ac:dyDescent="0.25">
      <c r="K26">
        <v>5</v>
      </c>
      <c r="L26" t="s">
        <v>81</v>
      </c>
      <c r="S26" s="11"/>
    </row>
    <row r="27" spans="2:24" x14ac:dyDescent="0.25">
      <c r="K27">
        <v>6</v>
      </c>
      <c r="L27" t="s">
        <v>82</v>
      </c>
      <c r="S27" s="10">
        <v>45638</v>
      </c>
      <c r="U27">
        <f>NETWORKDAYS.INTL(S25,S27,11)</f>
        <v>298</v>
      </c>
      <c r="V27" t="str">
        <f t="shared" ref="V27" ca="1" si="5">_xlfn.FORMULATEXT(U27)</f>
        <v>=NETWORKDAYS.INTL(S25,S27,11)</v>
      </c>
    </row>
    <row r="28" spans="2:24" x14ac:dyDescent="0.25">
      <c r="K28">
        <v>7</v>
      </c>
      <c r="L28" t="s">
        <v>83</v>
      </c>
    </row>
  </sheetData>
  <phoneticPr fontId="2"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53AF1-9DDD-4A41-98F5-ECDBAF05F9FA}">
  <sheetPr codeName="Sheet4"/>
  <dimension ref="C7:L42"/>
  <sheetViews>
    <sheetView workbookViewId="0">
      <selection activeCell="K32" sqref="K32:K33"/>
    </sheetView>
  </sheetViews>
  <sheetFormatPr defaultRowHeight="15" x14ac:dyDescent="0.25"/>
  <cols>
    <col min="1" max="1" width="15.42578125" customWidth="1"/>
    <col min="2" max="2" width="13.7109375" customWidth="1"/>
    <col min="3" max="3" width="22" customWidth="1"/>
    <col min="4" max="4" width="21.28515625" customWidth="1"/>
    <col min="5" max="5" width="17.42578125" customWidth="1"/>
    <col min="6" max="6" width="10.42578125" customWidth="1"/>
    <col min="11" max="11" width="37.42578125" customWidth="1"/>
  </cols>
  <sheetData>
    <row r="7" spans="3:12" ht="30" x14ac:dyDescent="0.25">
      <c r="C7" s="22" t="s">
        <v>39</v>
      </c>
      <c r="D7" s="22" t="s">
        <v>95</v>
      </c>
      <c r="E7" s="23" t="s">
        <v>94</v>
      </c>
      <c r="F7" s="24" t="s">
        <v>96</v>
      </c>
      <c r="K7" s="20" t="s">
        <v>97</v>
      </c>
    </row>
    <row r="8" spans="3:12" x14ac:dyDescent="0.25">
      <c r="C8" s="16" t="s">
        <v>28</v>
      </c>
      <c r="D8" s="16" t="s">
        <v>47</v>
      </c>
      <c r="E8" s="16" t="s">
        <v>55</v>
      </c>
      <c r="F8" s="16">
        <v>8003</v>
      </c>
    </row>
    <row r="9" spans="3:12" x14ac:dyDescent="0.25">
      <c r="C9" s="16" t="s">
        <v>29</v>
      </c>
      <c r="D9" s="16" t="s">
        <v>48</v>
      </c>
      <c r="E9" s="16" t="s">
        <v>56</v>
      </c>
      <c r="F9" s="16">
        <v>8596</v>
      </c>
      <c r="K9" s="21" t="s">
        <v>98</v>
      </c>
    </row>
    <row r="10" spans="3:12" x14ac:dyDescent="0.25">
      <c r="C10" s="16" t="s">
        <v>32</v>
      </c>
      <c r="D10" s="16" t="s">
        <v>49</v>
      </c>
      <c r="E10" s="16" t="s">
        <v>57</v>
      </c>
      <c r="F10" s="16">
        <v>5056</v>
      </c>
    </row>
    <row r="11" spans="3:12" x14ac:dyDescent="0.25">
      <c r="C11" s="16" t="s">
        <v>41</v>
      </c>
      <c r="D11" s="16" t="s">
        <v>47</v>
      </c>
      <c r="E11" s="16" t="s">
        <v>58</v>
      </c>
      <c r="F11" s="16">
        <v>5566</v>
      </c>
    </row>
    <row r="12" spans="3:12" x14ac:dyDescent="0.25">
      <c r="C12" s="16" t="s">
        <v>42</v>
      </c>
      <c r="D12" s="16" t="s">
        <v>50</v>
      </c>
      <c r="E12" s="16" t="s">
        <v>59</v>
      </c>
      <c r="F12" s="16">
        <v>7173</v>
      </c>
    </row>
    <row r="13" spans="3:12" x14ac:dyDescent="0.25">
      <c r="C13" s="16" t="s">
        <v>36</v>
      </c>
      <c r="D13" s="16" t="s">
        <v>51</v>
      </c>
      <c r="E13" s="16" t="s">
        <v>60</v>
      </c>
      <c r="F13" s="16">
        <v>5412</v>
      </c>
      <c r="K13" s="15" t="s">
        <v>99</v>
      </c>
    </row>
    <row r="14" spans="3:12" x14ac:dyDescent="0.25">
      <c r="C14" s="16" t="s">
        <v>31</v>
      </c>
      <c r="D14" s="16" t="s">
        <v>52</v>
      </c>
      <c r="E14" s="16" t="s">
        <v>61</v>
      </c>
      <c r="F14" s="16">
        <v>6899</v>
      </c>
      <c r="K14" s="15" t="s">
        <v>100</v>
      </c>
    </row>
    <row r="15" spans="3:12" x14ac:dyDescent="0.25">
      <c r="C15" s="16" t="s">
        <v>30</v>
      </c>
      <c r="D15" s="16" t="s">
        <v>53</v>
      </c>
      <c r="E15" s="16" t="s">
        <v>62</v>
      </c>
      <c r="F15" s="16">
        <v>6484</v>
      </c>
      <c r="K15" s="1"/>
    </row>
    <row r="16" spans="3:12" x14ac:dyDescent="0.25">
      <c r="C16" s="16" t="s">
        <v>40</v>
      </c>
      <c r="D16" s="16" t="s">
        <v>48</v>
      </c>
      <c r="E16" s="16" t="s">
        <v>63</v>
      </c>
      <c r="F16" s="16">
        <v>8073</v>
      </c>
      <c r="K16" s="25">
        <f>COUNTIFS(C7:C42,C8,E7:E42,E8)</f>
        <v>2</v>
      </c>
      <c r="L16" t="str">
        <f ca="1">_xlfn.FORMULATEXT(K16)</f>
        <v>=COUNTIFS(C7:C42,C8,E7:E42,E8)</v>
      </c>
    </row>
    <row r="17" spans="3:12" x14ac:dyDescent="0.25">
      <c r="C17" s="16" t="s">
        <v>43</v>
      </c>
      <c r="D17" s="16" t="s">
        <v>47</v>
      </c>
      <c r="E17" s="16" t="s">
        <v>55</v>
      </c>
      <c r="F17" s="16">
        <v>4614</v>
      </c>
      <c r="K17" s="1"/>
    </row>
    <row r="18" spans="3:12" x14ac:dyDescent="0.25">
      <c r="C18" s="16" t="s">
        <v>33</v>
      </c>
      <c r="D18" s="16" t="s">
        <v>49</v>
      </c>
      <c r="E18" s="16" t="s">
        <v>56</v>
      </c>
      <c r="F18" s="16">
        <v>6136</v>
      </c>
      <c r="K18" s="1"/>
    </row>
    <row r="19" spans="3:12" x14ac:dyDescent="0.25">
      <c r="C19" s="16" t="s">
        <v>37</v>
      </c>
      <c r="D19" s="16" t="s">
        <v>47</v>
      </c>
      <c r="E19" s="16" t="s">
        <v>58</v>
      </c>
      <c r="F19" s="16">
        <v>5888</v>
      </c>
      <c r="K19" s="15" t="s">
        <v>99</v>
      </c>
    </row>
    <row r="20" spans="3:12" x14ac:dyDescent="0.25">
      <c r="C20" s="16" t="s">
        <v>44</v>
      </c>
      <c r="D20" s="16" t="s">
        <v>48</v>
      </c>
      <c r="E20" s="16" t="s">
        <v>59</v>
      </c>
      <c r="F20" s="16">
        <v>7508</v>
      </c>
      <c r="K20" s="15" t="s">
        <v>119</v>
      </c>
    </row>
    <row r="21" spans="3:12" x14ac:dyDescent="0.25">
      <c r="C21" s="16" t="s">
        <v>138</v>
      </c>
      <c r="D21" s="16" t="s">
        <v>52</v>
      </c>
      <c r="E21" s="16" t="s">
        <v>60</v>
      </c>
      <c r="F21" s="16">
        <v>5454</v>
      </c>
      <c r="K21" s="1"/>
    </row>
    <row r="22" spans="3:12" x14ac:dyDescent="0.25">
      <c r="C22" s="16" t="s">
        <v>28</v>
      </c>
      <c r="D22" s="16" t="s">
        <v>54</v>
      </c>
      <c r="E22" s="16" t="s">
        <v>62</v>
      </c>
      <c r="F22" s="16">
        <v>5057</v>
      </c>
      <c r="K22" s="25">
        <f>COUNTIFS(C7:C42,C8,F7:F42,"=4500")</f>
        <v>0</v>
      </c>
      <c r="L22" t="str">
        <f t="shared" ref="L22:L36" ca="1" si="0">_xlfn.FORMULATEXT(K22)</f>
        <v>=COUNTIFS(C7:C42,C8,F7:F42,"=4500")</v>
      </c>
    </row>
    <row r="23" spans="3:12" x14ac:dyDescent="0.25">
      <c r="C23" s="16" t="s">
        <v>31</v>
      </c>
      <c r="D23" s="16" t="s">
        <v>47</v>
      </c>
      <c r="E23" s="16" t="s">
        <v>63</v>
      </c>
      <c r="F23" s="16">
        <v>5905</v>
      </c>
      <c r="K23" s="1"/>
    </row>
    <row r="24" spans="3:12" x14ac:dyDescent="0.25">
      <c r="C24" s="16" t="s">
        <v>46</v>
      </c>
      <c r="D24" s="16" t="s">
        <v>49</v>
      </c>
      <c r="E24" s="16" t="s">
        <v>61</v>
      </c>
      <c r="F24" s="16">
        <v>4831</v>
      </c>
      <c r="K24" s="1"/>
    </row>
    <row r="25" spans="3:12" x14ac:dyDescent="0.25">
      <c r="C25" s="16" t="s">
        <v>35</v>
      </c>
      <c r="D25" s="16" t="s">
        <v>47</v>
      </c>
      <c r="E25" s="16" t="s">
        <v>57</v>
      </c>
      <c r="F25" s="16">
        <v>7777</v>
      </c>
      <c r="K25" s="15"/>
    </row>
    <row r="26" spans="3:12" x14ac:dyDescent="0.25">
      <c r="C26" s="16" t="s">
        <v>29</v>
      </c>
      <c r="D26" s="16" t="s">
        <v>50</v>
      </c>
      <c r="E26" s="16" t="s">
        <v>55</v>
      </c>
      <c r="F26" s="16">
        <v>6734</v>
      </c>
      <c r="K26" s="15" t="s">
        <v>99</v>
      </c>
    </row>
    <row r="27" spans="3:12" x14ac:dyDescent="0.25">
      <c r="C27" s="16" t="s">
        <v>33</v>
      </c>
      <c r="D27" s="16" t="s">
        <v>54</v>
      </c>
      <c r="E27" s="16" t="s">
        <v>55</v>
      </c>
      <c r="F27" s="16">
        <v>8872</v>
      </c>
      <c r="K27" s="15" t="s">
        <v>101</v>
      </c>
    </row>
    <row r="28" spans="3:12" x14ac:dyDescent="0.25">
      <c r="C28" s="16" t="s">
        <v>37</v>
      </c>
      <c r="D28" s="16" t="s">
        <v>51</v>
      </c>
      <c r="E28" s="16" t="s">
        <v>56</v>
      </c>
      <c r="F28" s="16">
        <v>7294</v>
      </c>
    </row>
    <row r="29" spans="3:12" x14ac:dyDescent="0.25">
      <c r="C29" s="16" t="s">
        <v>40</v>
      </c>
      <c r="D29" s="16" t="s">
        <v>47</v>
      </c>
      <c r="E29" s="16" t="s">
        <v>62</v>
      </c>
      <c r="F29" s="16">
        <v>5567</v>
      </c>
      <c r="I29" t="s">
        <v>139</v>
      </c>
      <c r="K29" s="25">
        <f>COUNTIFS(F7:F42,"&gt;5000",D7:D42,D30)</f>
        <v>2</v>
      </c>
      <c r="L29" t="str">
        <f t="shared" ca="1" si="0"/>
        <v>=COUNTIFS(F7:F42,"&gt;5000",D7:D42,D30)</v>
      </c>
    </row>
    <row r="30" spans="3:12" x14ac:dyDescent="0.25">
      <c r="C30" s="16" t="s">
        <v>43</v>
      </c>
      <c r="D30" s="16" t="s">
        <v>49</v>
      </c>
      <c r="E30" s="16" t="s">
        <v>63</v>
      </c>
      <c r="F30" s="16">
        <v>4682</v>
      </c>
      <c r="K30" s="1"/>
    </row>
    <row r="31" spans="3:12" x14ac:dyDescent="0.25">
      <c r="C31" s="16" t="s">
        <v>37</v>
      </c>
      <c r="D31" s="16" t="s">
        <v>54</v>
      </c>
      <c r="E31" s="16" t="s">
        <v>61</v>
      </c>
      <c r="F31" s="16">
        <v>8969</v>
      </c>
      <c r="K31" s="1"/>
    </row>
    <row r="32" spans="3:12" x14ac:dyDescent="0.25">
      <c r="C32" s="16" t="s">
        <v>44</v>
      </c>
      <c r="D32" s="16" t="s">
        <v>49</v>
      </c>
      <c r="E32" s="16" t="s">
        <v>57</v>
      </c>
      <c r="F32" s="16">
        <v>4678</v>
      </c>
      <c r="K32" s="15" t="s">
        <v>99</v>
      </c>
    </row>
    <row r="33" spans="3:12" x14ac:dyDescent="0.25">
      <c r="C33" s="16" t="s">
        <v>36</v>
      </c>
      <c r="D33" s="16" t="s">
        <v>53</v>
      </c>
      <c r="E33" s="16" t="s">
        <v>60</v>
      </c>
      <c r="F33" s="16">
        <v>8832</v>
      </c>
      <c r="K33" s="15" t="s">
        <v>102</v>
      </c>
    </row>
    <row r="34" spans="3:12" x14ac:dyDescent="0.25">
      <c r="C34" s="16" t="s">
        <v>41</v>
      </c>
      <c r="D34" s="16" t="s">
        <v>53</v>
      </c>
      <c r="E34" s="16" t="s">
        <v>56</v>
      </c>
      <c r="F34" s="16">
        <v>5147</v>
      </c>
      <c r="K34" s="1"/>
    </row>
    <row r="35" spans="3:12" x14ac:dyDescent="0.25">
      <c r="C35" s="16" t="s">
        <v>28</v>
      </c>
      <c r="D35" s="16" t="s">
        <v>53</v>
      </c>
      <c r="E35" s="16" t="s">
        <v>55</v>
      </c>
      <c r="F35" s="16">
        <v>4788</v>
      </c>
      <c r="K35" s="1"/>
    </row>
    <row r="36" spans="3:12" x14ac:dyDescent="0.25">
      <c r="C36" s="16" t="s">
        <v>29</v>
      </c>
      <c r="D36" s="16" t="s">
        <v>47</v>
      </c>
      <c r="E36" s="16" t="s">
        <v>62</v>
      </c>
      <c r="F36" s="16">
        <v>6142</v>
      </c>
      <c r="K36" s="25">
        <f>COUNTIFS(E7:E42,E8,C7:C42,C9)</f>
        <v>1</v>
      </c>
      <c r="L36" t="str">
        <f t="shared" ca="1" si="0"/>
        <v>=COUNTIFS(E7:E42,E8,C7:C42,C9)</v>
      </c>
    </row>
    <row r="37" spans="3:12" x14ac:dyDescent="0.25">
      <c r="C37" s="16" t="s">
        <v>32</v>
      </c>
      <c r="D37" s="16" t="s">
        <v>47</v>
      </c>
      <c r="E37" s="16" t="s">
        <v>63</v>
      </c>
      <c r="F37" s="16">
        <v>5283</v>
      </c>
      <c r="K37" s="1"/>
    </row>
    <row r="38" spans="3:12" x14ac:dyDescent="0.25">
      <c r="C38" s="16" t="s">
        <v>42</v>
      </c>
      <c r="D38" s="16" t="s">
        <v>50</v>
      </c>
      <c r="E38" s="16" t="s">
        <v>61</v>
      </c>
      <c r="F38" s="16">
        <v>7949</v>
      </c>
      <c r="K38" s="1"/>
    </row>
    <row r="39" spans="3:12" x14ac:dyDescent="0.25">
      <c r="C39" s="16" t="s">
        <v>31</v>
      </c>
      <c r="D39" s="16" t="s">
        <v>54</v>
      </c>
      <c r="E39" s="16" t="s">
        <v>56</v>
      </c>
      <c r="F39" s="16">
        <v>8870</v>
      </c>
      <c r="K39" s="1"/>
    </row>
    <row r="40" spans="3:12" x14ac:dyDescent="0.25">
      <c r="C40" s="16" t="s">
        <v>29</v>
      </c>
      <c r="D40" s="16" t="s">
        <v>49</v>
      </c>
      <c r="E40" s="16" t="s">
        <v>59</v>
      </c>
      <c r="F40" s="16">
        <v>4838</v>
      </c>
    </row>
    <row r="41" spans="3:12" x14ac:dyDescent="0.25">
      <c r="C41" s="16" t="s">
        <v>43</v>
      </c>
      <c r="D41" s="16" t="s">
        <v>48</v>
      </c>
      <c r="E41" s="16" t="s">
        <v>57</v>
      </c>
      <c r="F41" s="16">
        <v>8755</v>
      </c>
    </row>
    <row r="42" spans="3:12" x14ac:dyDescent="0.25">
      <c r="C42" s="16" t="s">
        <v>30</v>
      </c>
      <c r="D42" s="16" t="s">
        <v>53</v>
      </c>
      <c r="E42" s="16" t="s">
        <v>58</v>
      </c>
      <c r="F42" s="16">
        <v>5968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F9C75-5172-4B94-BFDA-5870CA8B2E03}">
  <sheetPr codeName="Sheet5"/>
  <dimension ref="D7:M42"/>
  <sheetViews>
    <sheetView topLeftCell="A4" workbookViewId="0">
      <selection activeCell="N24" sqref="N24"/>
    </sheetView>
  </sheetViews>
  <sheetFormatPr defaultRowHeight="15" x14ac:dyDescent="0.25"/>
  <cols>
    <col min="4" max="4" width="22.140625" customWidth="1"/>
    <col min="5" max="5" width="14.5703125" customWidth="1"/>
    <col min="6" max="6" width="17.140625" customWidth="1"/>
    <col min="7" max="7" width="13.140625" customWidth="1"/>
    <col min="12" max="12" width="34.85546875" customWidth="1"/>
  </cols>
  <sheetData>
    <row r="7" spans="4:13" ht="30" x14ac:dyDescent="0.25">
      <c r="D7" s="22" t="s">
        <v>39</v>
      </c>
      <c r="E7" s="22" t="s">
        <v>95</v>
      </c>
      <c r="F7" s="23" t="s">
        <v>94</v>
      </c>
      <c r="G7" s="22" t="s">
        <v>96</v>
      </c>
      <c r="L7" s="20" t="s">
        <v>97</v>
      </c>
    </row>
    <row r="8" spans="4:13" x14ac:dyDescent="0.25">
      <c r="D8" s="16" t="s">
        <v>28</v>
      </c>
      <c r="E8" s="16" t="s">
        <v>47</v>
      </c>
      <c r="F8" s="16" t="s">
        <v>55</v>
      </c>
      <c r="G8" s="16">
        <v>8003</v>
      </c>
    </row>
    <row r="9" spans="4:13" x14ac:dyDescent="0.25">
      <c r="D9" s="16" t="s">
        <v>29</v>
      </c>
      <c r="E9" s="16" t="s">
        <v>48</v>
      </c>
      <c r="F9" s="16" t="s">
        <v>56</v>
      </c>
      <c r="G9" s="16">
        <v>8596</v>
      </c>
      <c r="L9" s="21" t="s">
        <v>110</v>
      </c>
    </row>
    <row r="10" spans="4:13" x14ac:dyDescent="0.25">
      <c r="D10" s="16" t="s">
        <v>32</v>
      </c>
      <c r="E10" s="16" t="s">
        <v>49</v>
      </c>
      <c r="F10" s="16" t="s">
        <v>57</v>
      </c>
      <c r="G10" s="16">
        <v>5056</v>
      </c>
      <c r="L10" s="1"/>
    </row>
    <row r="11" spans="4:13" x14ac:dyDescent="0.25">
      <c r="D11" s="16" t="s">
        <v>41</v>
      </c>
      <c r="E11" s="16" t="s">
        <v>47</v>
      </c>
      <c r="F11" s="16" t="s">
        <v>58</v>
      </c>
      <c r="G11" s="16">
        <v>5566</v>
      </c>
      <c r="L11" s="15" t="s">
        <v>103</v>
      </c>
    </row>
    <row r="12" spans="4:13" x14ac:dyDescent="0.25">
      <c r="D12" s="16" t="s">
        <v>42</v>
      </c>
      <c r="E12" s="16" t="s">
        <v>50</v>
      </c>
      <c r="F12" s="16" t="s">
        <v>59</v>
      </c>
      <c r="G12" s="16">
        <v>7173</v>
      </c>
      <c r="L12" s="15" t="s">
        <v>104</v>
      </c>
    </row>
    <row r="13" spans="4:13" x14ac:dyDescent="0.25">
      <c r="D13" s="16" t="s">
        <v>36</v>
      </c>
      <c r="E13" s="16" t="s">
        <v>51</v>
      </c>
      <c r="F13" s="16" t="s">
        <v>60</v>
      </c>
      <c r="G13" s="16">
        <v>5412</v>
      </c>
      <c r="L13" s="1"/>
    </row>
    <row r="14" spans="4:13" x14ac:dyDescent="0.25">
      <c r="D14" s="16" t="s">
        <v>31</v>
      </c>
      <c r="E14" s="16" t="s">
        <v>52</v>
      </c>
      <c r="F14" s="16" t="s">
        <v>61</v>
      </c>
      <c r="G14" s="16">
        <v>6899</v>
      </c>
      <c r="L14" s="25">
        <f>SUMIF(D8:D42,D9,G8:G42)</f>
        <v>26310</v>
      </c>
      <c r="M14" t="str">
        <f ca="1">_xlfn.FORMULATEXT(L14)</f>
        <v>=SUMIF(D8:D42,D9,G8:G42)</v>
      </c>
    </row>
    <row r="15" spans="4:13" x14ac:dyDescent="0.25">
      <c r="D15" s="16" t="s">
        <v>30</v>
      </c>
      <c r="E15" s="16" t="s">
        <v>53</v>
      </c>
      <c r="F15" s="16" t="s">
        <v>62</v>
      </c>
      <c r="G15" s="16">
        <v>6484</v>
      </c>
      <c r="L15" s="1"/>
    </row>
    <row r="16" spans="4:13" x14ac:dyDescent="0.25">
      <c r="D16" s="16" t="s">
        <v>40</v>
      </c>
      <c r="E16" s="16" t="s">
        <v>48</v>
      </c>
      <c r="F16" s="16" t="s">
        <v>63</v>
      </c>
      <c r="G16" s="16">
        <v>8073</v>
      </c>
      <c r="L16" s="1"/>
    </row>
    <row r="17" spans="4:13" x14ac:dyDescent="0.25">
      <c r="D17" s="16" t="s">
        <v>43</v>
      </c>
      <c r="E17" s="16" t="s">
        <v>47</v>
      </c>
      <c r="F17" s="16" t="s">
        <v>55</v>
      </c>
      <c r="G17" s="16">
        <v>4614</v>
      </c>
      <c r="L17" s="15" t="s">
        <v>103</v>
      </c>
    </row>
    <row r="18" spans="4:13" x14ac:dyDescent="0.25">
      <c r="D18" s="16" t="s">
        <v>33</v>
      </c>
      <c r="E18" s="16" t="s">
        <v>49</v>
      </c>
      <c r="F18" s="16" t="s">
        <v>56</v>
      </c>
      <c r="G18" s="16">
        <v>6136</v>
      </c>
      <c r="L18" s="15" t="s">
        <v>105</v>
      </c>
    </row>
    <row r="19" spans="4:13" x14ac:dyDescent="0.25">
      <c r="D19" s="16" t="s">
        <v>37</v>
      </c>
      <c r="E19" s="16" t="s">
        <v>47</v>
      </c>
      <c r="F19" s="16" t="s">
        <v>58</v>
      </c>
      <c r="G19" s="16">
        <v>5888</v>
      </c>
      <c r="L19" s="1"/>
    </row>
    <row r="20" spans="4:13" x14ac:dyDescent="0.25">
      <c r="D20" s="16" t="s">
        <v>44</v>
      </c>
      <c r="E20" s="16" t="s">
        <v>48</v>
      </c>
      <c r="F20" s="16" t="s">
        <v>59</v>
      </c>
      <c r="G20" s="16">
        <v>7508</v>
      </c>
      <c r="I20">
        <f>SUMIF(E7:E42,E8,G7:G42)</f>
        <v>54745</v>
      </c>
      <c r="L20" s="25">
        <f>SUMIF(E8:E42,E8,G8:G42)</f>
        <v>54745</v>
      </c>
      <c r="M20" t="str">
        <f t="shared" ref="M20:M40" ca="1" si="0">_xlfn.FORMULATEXT(L20)</f>
        <v>=SUMIF(E8:E42,E8,G8:G42)</v>
      </c>
    </row>
    <row r="21" spans="4:13" x14ac:dyDescent="0.25">
      <c r="D21" s="16" t="s">
        <v>45</v>
      </c>
      <c r="E21" s="16" t="s">
        <v>52</v>
      </c>
      <c r="F21" s="16" t="s">
        <v>60</v>
      </c>
      <c r="G21" s="16">
        <v>5454</v>
      </c>
      <c r="L21" s="1"/>
    </row>
    <row r="22" spans="4:13" x14ac:dyDescent="0.25">
      <c r="D22" s="16" t="s">
        <v>28</v>
      </c>
      <c r="E22" s="16" t="s">
        <v>54</v>
      </c>
      <c r="F22" s="16" t="s">
        <v>62</v>
      </c>
      <c r="G22" s="16">
        <v>5057</v>
      </c>
      <c r="L22" s="1"/>
    </row>
    <row r="23" spans="4:13" x14ac:dyDescent="0.25">
      <c r="D23" s="16" t="s">
        <v>31</v>
      </c>
      <c r="E23" s="16" t="s">
        <v>47</v>
      </c>
      <c r="F23" s="16" t="s">
        <v>63</v>
      </c>
      <c r="G23" s="16">
        <v>5905</v>
      </c>
      <c r="L23" s="15" t="s">
        <v>103</v>
      </c>
    </row>
    <row r="24" spans="4:13" x14ac:dyDescent="0.25">
      <c r="D24" s="16" t="s">
        <v>46</v>
      </c>
      <c r="E24" s="16" t="s">
        <v>49</v>
      </c>
      <c r="F24" s="16" t="s">
        <v>61</v>
      </c>
      <c r="G24" s="16">
        <v>4831</v>
      </c>
      <c r="L24" s="15" t="s">
        <v>106</v>
      </c>
    </row>
    <row r="25" spans="4:13" x14ac:dyDescent="0.25">
      <c r="D25" s="16" t="s">
        <v>35</v>
      </c>
      <c r="E25" s="16" t="s">
        <v>47</v>
      </c>
      <c r="F25" s="16" t="s">
        <v>57</v>
      </c>
      <c r="G25" s="16">
        <v>7777</v>
      </c>
      <c r="L25" s="1"/>
    </row>
    <row r="26" spans="4:13" x14ac:dyDescent="0.25">
      <c r="D26" s="16" t="s">
        <v>29</v>
      </c>
      <c r="E26" s="16" t="s">
        <v>50</v>
      </c>
      <c r="F26" s="16" t="s">
        <v>55</v>
      </c>
      <c r="G26" s="16">
        <v>6734</v>
      </c>
      <c r="I26">
        <f>SUMIFS(G7:G42,G7:G42,"&gt;5000",E7:E42,E8)</f>
        <v>50131</v>
      </c>
      <c r="L26" s="25">
        <f>SUMIFS(G8:G42,E8:E42,E8,G8:G42,"&gt;5000")</f>
        <v>50131</v>
      </c>
      <c r="M26" t="str">
        <f t="shared" ca="1" si="0"/>
        <v>=SUMIFS(G8:G42,E8:E42,E8,G8:G42,"&gt;5000")</v>
      </c>
    </row>
    <row r="27" spans="4:13" x14ac:dyDescent="0.25">
      <c r="D27" s="16" t="s">
        <v>33</v>
      </c>
      <c r="E27" s="16" t="s">
        <v>54</v>
      </c>
      <c r="F27" s="16" t="s">
        <v>55</v>
      </c>
      <c r="G27" s="16">
        <v>8872</v>
      </c>
      <c r="L27" s="1"/>
    </row>
    <row r="28" spans="4:13" x14ac:dyDescent="0.25">
      <c r="D28" s="16" t="s">
        <v>37</v>
      </c>
      <c r="E28" s="16" t="s">
        <v>51</v>
      </c>
      <c r="F28" s="16" t="s">
        <v>56</v>
      </c>
      <c r="G28" s="16">
        <v>7294</v>
      </c>
      <c r="L28" s="1"/>
    </row>
    <row r="29" spans="4:13" x14ac:dyDescent="0.25">
      <c r="D29" s="16" t="s">
        <v>40</v>
      </c>
      <c r="E29" s="16" t="s">
        <v>47</v>
      </c>
      <c r="F29" s="16" t="s">
        <v>62</v>
      </c>
      <c r="G29" s="16">
        <v>5567</v>
      </c>
      <c r="L29" s="15" t="s">
        <v>103</v>
      </c>
    </row>
    <row r="30" spans="4:13" x14ac:dyDescent="0.25">
      <c r="D30" s="16" t="s">
        <v>43</v>
      </c>
      <c r="E30" s="16" t="s">
        <v>49</v>
      </c>
      <c r="F30" s="16" t="s">
        <v>63</v>
      </c>
      <c r="G30" s="16">
        <v>4682</v>
      </c>
      <c r="L30" s="15" t="s">
        <v>107</v>
      </c>
    </row>
    <row r="31" spans="4:13" x14ac:dyDescent="0.25">
      <c r="D31" s="16" t="s">
        <v>37</v>
      </c>
      <c r="E31" s="16" t="s">
        <v>54</v>
      </c>
      <c r="F31" s="16" t="s">
        <v>61</v>
      </c>
      <c r="G31" s="16">
        <v>8969</v>
      </c>
      <c r="L31" s="1"/>
    </row>
    <row r="32" spans="4:13" x14ac:dyDescent="0.25">
      <c r="D32" s="16" t="s">
        <v>44</v>
      </c>
      <c r="E32" s="16" t="s">
        <v>49</v>
      </c>
      <c r="F32" s="16" t="s">
        <v>57</v>
      </c>
      <c r="G32" s="16">
        <v>4678</v>
      </c>
      <c r="I32">
        <f>SUMIFS(G7:G42,G7:G42,"&lt;5000",D7:D42,D8)</f>
        <v>4788</v>
      </c>
      <c r="L32" s="25">
        <f>SUMIFS(G8:G42,D8:D42,D8,G8:G42,"&lt;5000")</f>
        <v>4788</v>
      </c>
      <c r="M32" t="str">
        <f ca="1">_xlfn.FORMULATEXT(L32)</f>
        <v>=SUMIFS(G8:G42,D8:D42,D8,G8:G42,"&lt;5000")</v>
      </c>
    </row>
    <row r="33" spans="4:13" x14ac:dyDescent="0.25">
      <c r="D33" s="16" t="s">
        <v>36</v>
      </c>
      <c r="E33" s="16" t="s">
        <v>53</v>
      </c>
      <c r="F33" s="16" t="s">
        <v>60</v>
      </c>
      <c r="G33" s="16">
        <v>8832</v>
      </c>
      <c r="L33" s="1"/>
    </row>
    <row r="34" spans="4:13" x14ac:dyDescent="0.25">
      <c r="D34" s="16" t="s">
        <v>41</v>
      </c>
      <c r="E34" s="16" t="s">
        <v>53</v>
      </c>
      <c r="F34" s="16" t="s">
        <v>56</v>
      </c>
      <c r="G34" s="16">
        <v>5147</v>
      </c>
      <c r="L34" s="1"/>
    </row>
    <row r="35" spans="4:13" x14ac:dyDescent="0.25">
      <c r="D35" s="16" t="s">
        <v>28</v>
      </c>
      <c r="E35" s="16" t="s">
        <v>53</v>
      </c>
      <c r="F35" s="16" t="s">
        <v>55</v>
      </c>
      <c r="G35" s="16">
        <v>4788</v>
      </c>
      <c r="L35" s="15" t="s">
        <v>103</v>
      </c>
    </row>
    <row r="36" spans="4:13" x14ac:dyDescent="0.25">
      <c r="D36" s="16" t="s">
        <v>29</v>
      </c>
      <c r="E36" s="16" t="s">
        <v>47</v>
      </c>
      <c r="F36" s="16" t="s">
        <v>62</v>
      </c>
      <c r="G36" s="16">
        <v>6142</v>
      </c>
      <c r="L36" s="15" t="s">
        <v>108</v>
      </c>
    </row>
    <row r="37" spans="4:13" x14ac:dyDescent="0.25">
      <c r="D37" s="16" t="s">
        <v>32</v>
      </c>
      <c r="E37" s="16" t="s">
        <v>47</v>
      </c>
      <c r="F37" s="16" t="s">
        <v>63</v>
      </c>
      <c r="G37" s="16">
        <v>5283</v>
      </c>
      <c r="L37" s="15" t="s">
        <v>109</v>
      </c>
    </row>
    <row r="38" spans="4:13" x14ac:dyDescent="0.25">
      <c r="D38" s="16" t="s">
        <v>42</v>
      </c>
      <c r="E38" s="16" t="s">
        <v>50</v>
      </c>
      <c r="F38" s="16" t="s">
        <v>61</v>
      </c>
      <c r="G38" s="16">
        <v>7949</v>
      </c>
    </row>
    <row r="39" spans="4:13" x14ac:dyDescent="0.25">
      <c r="D39" s="16" t="s">
        <v>31</v>
      </c>
      <c r="E39" s="16" t="s">
        <v>54</v>
      </c>
      <c r="F39" s="16" t="s">
        <v>56</v>
      </c>
      <c r="G39" s="16">
        <v>8870</v>
      </c>
    </row>
    <row r="40" spans="4:13" x14ac:dyDescent="0.25">
      <c r="D40" s="16" t="s">
        <v>29</v>
      </c>
      <c r="E40" s="16" t="s">
        <v>49</v>
      </c>
      <c r="F40" s="16" t="s">
        <v>59</v>
      </c>
      <c r="G40" s="16">
        <v>4838</v>
      </c>
      <c r="I40">
        <f>SUMIFS(G7:G42,G7:G42,"&gt;5000",D7:D42,D8,E7:E42,E8,F7:F42,F8)</f>
        <v>8003</v>
      </c>
      <c r="L40" s="25">
        <f>SUMIFS(G8:G42,D8:D42,D8,E8:E42,E8,F8:F42,F8,G8:G42,"&gt;5000")</f>
        <v>8003</v>
      </c>
      <c r="M40" t="str">
        <f t="shared" ca="1" si="0"/>
        <v>=SUMIFS(G8:G42,D8:D42,D8,E8:E42,E8,F8:F42,F8,G8:G42,"&gt;5000")</v>
      </c>
    </row>
    <row r="41" spans="4:13" x14ac:dyDescent="0.25">
      <c r="D41" s="16" t="s">
        <v>43</v>
      </c>
      <c r="E41" s="16" t="s">
        <v>48</v>
      </c>
      <c r="F41" s="16" t="s">
        <v>57</v>
      </c>
      <c r="G41" s="16">
        <v>8755</v>
      </c>
    </row>
    <row r="42" spans="4:13" x14ac:dyDescent="0.25">
      <c r="D42" s="16" t="s">
        <v>30</v>
      </c>
      <c r="E42" s="16" t="s">
        <v>53</v>
      </c>
      <c r="F42" s="16" t="s">
        <v>58</v>
      </c>
      <c r="G42" s="16">
        <v>5968</v>
      </c>
    </row>
  </sheetData>
  <phoneticPr fontId="2"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B93F1-8B87-4BCF-84C6-4C642BEC1C30}">
  <sheetPr codeName="Sheet6"/>
  <dimension ref="D7:M51"/>
  <sheetViews>
    <sheetView topLeftCell="A52" zoomScaleNormal="100" workbookViewId="0">
      <selection activeCell="L85" sqref="L85"/>
    </sheetView>
  </sheetViews>
  <sheetFormatPr defaultRowHeight="15" x14ac:dyDescent="0.25"/>
  <cols>
    <col min="4" max="4" width="17.5703125" customWidth="1"/>
    <col min="5" max="5" width="13.7109375" customWidth="1"/>
    <col min="6" max="6" width="16.140625" customWidth="1"/>
    <col min="7" max="7" width="11.140625" customWidth="1"/>
    <col min="9" max="9" width="12" bestFit="1" customWidth="1"/>
    <col min="12" max="12" width="57.140625" customWidth="1"/>
  </cols>
  <sheetData>
    <row r="7" spans="4:13" ht="30" x14ac:dyDescent="0.25">
      <c r="D7" s="22" t="s">
        <v>39</v>
      </c>
      <c r="E7" s="22" t="s">
        <v>95</v>
      </c>
      <c r="F7" s="23" t="s">
        <v>94</v>
      </c>
      <c r="G7" s="22" t="s">
        <v>96</v>
      </c>
      <c r="L7" s="20" t="s">
        <v>97</v>
      </c>
    </row>
    <row r="8" spans="4:13" x14ac:dyDescent="0.25">
      <c r="D8" s="1" t="s">
        <v>28</v>
      </c>
      <c r="E8" s="1" t="s">
        <v>47</v>
      </c>
      <c r="F8" s="1" t="s">
        <v>55</v>
      </c>
      <c r="G8" s="1">
        <v>8003</v>
      </c>
    </row>
    <row r="9" spans="4:13" x14ac:dyDescent="0.25">
      <c r="D9" s="1" t="s">
        <v>29</v>
      </c>
      <c r="E9" s="1" t="s">
        <v>48</v>
      </c>
      <c r="F9" s="1" t="s">
        <v>56</v>
      </c>
      <c r="G9" s="1">
        <v>8596</v>
      </c>
    </row>
    <row r="10" spans="4:13" x14ac:dyDescent="0.25">
      <c r="D10" s="1" t="s">
        <v>32</v>
      </c>
      <c r="E10" s="1" t="s">
        <v>49</v>
      </c>
      <c r="F10" s="1" t="s">
        <v>57</v>
      </c>
      <c r="G10" s="1">
        <v>5056</v>
      </c>
    </row>
    <row r="11" spans="4:13" x14ac:dyDescent="0.25">
      <c r="D11" s="1" t="s">
        <v>41</v>
      </c>
      <c r="E11" s="1" t="s">
        <v>47</v>
      </c>
      <c r="F11" s="1" t="s">
        <v>58</v>
      </c>
      <c r="G11" s="1">
        <v>5566</v>
      </c>
      <c r="L11" s="15" t="s">
        <v>111</v>
      </c>
    </row>
    <row r="12" spans="4:13" x14ac:dyDescent="0.25">
      <c r="D12" s="1" t="s">
        <v>42</v>
      </c>
      <c r="E12" s="1" t="s">
        <v>50</v>
      </c>
      <c r="F12" s="1" t="s">
        <v>59</v>
      </c>
      <c r="G12" s="1">
        <v>7173</v>
      </c>
      <c r="L12" s="15" t="s">
        <v>112</v>
      </c>
    </row>
    <row r="13" spans="4:13" x14ac:dyDescent="0.25">
      <c r="D13" s="1" t="s">
        <v>36</v>
      </c>
      <c r="E13" s="1" t="s">
        <v>51</v>
      </c>
      <c r="F13" s="1" t="s">
        <v>60</v>
      </c>
      <c r="G13" s="1">
        <v>5412</v>
      </c>
      <c r="L13" s="1"/>
    </row>
    <row r="14" spans="4:13" x14ac:dyDescent="0.25">
      <c r="D14" s="1" t="s">
        <v>31</v>
      </c>
      <c r="E14" s="1" t="s">
        <v>52</v>
      </c>
      <c r="F14" s="1" t="s">
        <v>61</v>
      </c>
      <c r="G14" s="1">
        <v>6899</v>
      </c>
      <c r="L14" s="1"/>
    </row>
    <row r="15" spans="4:13" x14ac:dyDescent="0.25">
      <c r="D15" s="1" t="s">
        <v>30</v>
      </c>
      <c r="E15" s="1" t="s">
        <v>53</v>
      </c>
      <c r="F15" s="1" t="s">
        <v>62</v>
      </c>
      <c r="G15" s="1">
        <v>6484</v>
      </c>
      <c r="L15" s="25">
        <f>AVERAGEIF(E8:E42,E8,G8:G42)</f>
        <v>6082.7777777777774</v>
      </c>
      <c r="M15" t="str">
        <f ca="1">_xlfn.FORMULATEXT(L15)</f>
        <v>=AVERAGEIF(E8:E42,E8,G8:G42)</v>
      </c>
    </row>
    <row r="16" spans="4:13" x14ac:dyDescent="0.25">
      <c r="D16" s="1" t="s">
        <v>40</v>
      </c>
      <c r="E16" s="1" t="s">
        <v>48</v>
      </c>
      <c r="F16" s="1" t="s">
        <v>63</v>
      </c>
      <c r="G16" s="1">
        <v>8073</v>
      </c>
      <c r="I16">
        <f>AVERAGEIF(E7:E42,E8,G7:G42)</f>
        <v>6082.7777777777774</v>
      </c>
      <c r="L16" s="1"/>
    </row>
    <row r="17" spans="4:13" x14ac:dyDescent="0.25">
      <c r="D17" s="1" t="s">
        <v>43</v>
      </c>
      <c r="E17" s="1" t="s">
        <v>47</v>
      </c>
      <c r="F17" s="1" t="s">
        <v>55</v>
      </c>
      <c r="G17" s="1">
        <v>4614</v>
      </c>
      <c r="L17" s="15" t="s">
        <v>111</v>
      </c>
    </row>
    <row r="18" spans="4:13" x14ac:dyDescent="0.25">
      <c r="D18" s="1" t="s">
        <v>33</v>
      </c>
      <c r="E18" s="1" t="s">
        <v>49</v>
      </c>
      <c r="F18" s="1" t="s">
        <v>56</v>
      </c>
      <c r="G18" s="1">
        <v>6136</v>
      </c>
      <c r="L18" s="15" t="s">
        <v>113</v>
      </c>
    </row>
    <row r="19" spans="4:13" x14ac:dyDescent="0.25">
      <c r="D19" s="1" t="s">
        <v>37</v>
      </c>
      <c r="E19" s="1" t="s">
        <v>47</v>
      </c>
      <c r="F19" s="1" t="s">
        <v>58</v>
      </c>
      <c r="G19" s="1">
        <v>5888</v>
      </c>
      <c r="L19" s="1"/>
    </row>
    <row r="20" spans="4:13" x14ac:dyDescent="0.25">
      <c r="D20" s="1" t="s">
        <v>44</v>
      </c>
      <c r="E20" s="1" t="s">
        <v>48</v>
      </c>
      <c r="F20" s="1" t="s">
        <v>59</v>
      </c>
      <c r="G20" s="1">
        <v>7508</v>
      </c>
      <c r="L20" s="1"/>
    </row>
    <row r="21" spans="4:13" x14ac:dyDescent="0.25">
      <c r="D21" s="1" t="s">
        <v>45</v>
      </c>
      <c r="E21" s="1" t="s">
        <v>52</v>
      </c>
      <c r="F21" s="1" t="s">
        <v>60</v>
      </c>
      <c r="G21" s="1">
        <v>5454</v>
      </c>
      <c r="I21">
        <f>AVERAGEIFS(G7:G42,G7:G42,"&gt;5000",E7:E42,E8)</f>
        <v>6266.375</v>
      </c>
      <c r="L21" s="25">
        <f>AVERAGEIFS(G8:G42,E8:E42,E8,G8:G42,"&gt;5000")</f>
        <v>6266.375</v>
      </c>
      <c r="M21" t="str">
        <f t="shared" ref="M21:M46" ca="1" si="0">_xlfn.FORMULATEXT(L21)</f>
        <v>=AVERAGEIFS(G8:G42,E8:E42,E8,G8:G42,"&gt;5000")</v>
      </c>
    </row>
    <row r="22" spans="4:13" x14ac:dyDescent="0.25">
      <c r="D22" s="1" t="s">
        <v>28</v>
      </c>
      <c r="E22" s="1" t="s">
        <v>54</v>
      </c>
      <c r="F22" s="1" t="s">
        <v>62</v>
      </c>
      <c r="G22" s="1">
        <v>5057</v>
      </c>
      <c r="L22" s="1"/>
    </row>
    <row r="23" spans="4:13" x14ac:dyDescent="0.25">
      <c r="D23" s="1" t="s">
        <v>31</v>
      </c>
      <c r="E23" s="1" t="s">
        <v>47</v>
      </c>
      <c r="F23" s="1" t="s">
        <v>63</v>
      </c>
      <c r="G23" s="1">
        <v>5905</v>
      </c>
      <c r="L23" s="1"/>
    </row>
    <row r="24" spans="4:13" x14ac:dyDescent="0.25">
      <c r="D24" s="1" t="s">
        <v>46</v>
      </c>
      <c r="E24" s="1" t="s">
        <v>49</v>
      </c>
      <c r="F24" s="1" t="s">
        <v>61</v>
      </c>
      <c r="G24" s="1">
        <v>4831</v>
      </c>
      <c r="L24" s="15" t="s">
        <v>111</v>
      </c>
    </row>
    <row r="25" spans="4:13" x14ac:dyDescent="0.25">
      <c r="D25" s="1" t="s">
        <v>35</v>
      </c>
      <c r="E25" s="1" t="s">
        <v>47</v>
      </c>
      <c r="F25" s="1" t="s">
        <v>57</v>
      </c>
      <c r="G25" s="1">
        <v>7777</v>
      </c>
      <c r="L25" s="15" t="s">
        <v>114</v>
      </c>
    </row>
    <row r="26" spans="4:13" x14ac:dyDescent="0.25">
      <c r="D26" s="1" t="s">
        <v>29</v>
      </c>
      <c r="E26" s="1" t="s">
        <v>50</v>
      </c>
      <c r="F26" s="1" t="s">
        <v>55</v>
      </c>
      <c r="G26" s="1">
        <v>6734</v>
      </c>
      <c r="L26" s="1"/>
    </row>
    <row r="27" spans="4:13" x14ac:dyDescent="0.25">
      <c r="D27" s="1" t="s">
        <v>33</v>
      </c>
      <c r="E27" s="1" t="s">
        <v>54</v>
      </c>
      <c r="F27" s="1" t="s">
        <v>55</v>
      </c>
      <c r="G27" s="1">
        <v>8872</v>
      </c>
      <c r="I27">
        <f>AVERAGEIFS(G7:G42,G7:G42,"&gt;5000",D7:D42,D23)</f>
        <v>7224.666666666667</v>
      </c>
      <c r="L27" s="25">
        <f>AVERAGEIFS(G8:G42,D8:D42,D14,G8:G42,"&gt;5000")</f>
        <v>7224.666666666667</v>
      </c>
      <c r="M27" t="str">
        <f t="shared" ca="1" si="0"/>
        <v>=AVERAGEIFS(G8:G42,D8:D42,D14,G8:G42,"&gt;5000")</v>
      </c>
    </row>
    <row r="28" spans="4:13" x14ac:dyDescent="0.25">
      <c r="D28" s="1" t="s">
        <v>37</v>
      </c>
      <c r="E28" s="1" t="s">
        <v>51</v>
      </c>
      <c r="F28" s="1" t="s">
        <v>56</v>
      </c>
      <c r="G28" s="1">
        <v>7294</v>
      </c>
      <c r="L28" s="1"/>
    </row>
    <row r="29" spans="4:13" x14ac:dyDescent="0.25">
      <c r="D29" s="1" t="s">
        <v>40</v>
      </c>
      <c r="E29" s="1" t="s">
        <v>47</v>
      </c>
      <c r="F29" s="1" t="s">
        <v>62</v>
      </c>
      <c r="G29" s="1">
        <v>5567</v>
      </c>
      <c r="L29" s="1"/>
    </row>
    <row r="30" spans="4:13" x14ac:dyDescent="0.25">
      <c r="D30" s="1" t="s">
        <v>43</v>
      </c>
      <c r="E30" s="1" t="s">
        <v>49</v>
      </c>
      <c r="F30" s="1" t="s">
        <v>63</v>
      </c>
      <c r="G30" s="1">
        <v>4682</v>
      </c>
      <c r="L30" s="15" t="s">
        <v>111</v>
      </c>
    </row>
    <row r="31" spans="4:13" x14ac:dyDescent="0.25">
      <c r="D31" s="1" t="s">
        <v>37</v>
      </c>
      <c r="E31" s="1" t="s">
        <v>54</v>
      </c>
      <c r="F31" s="1" t="s">
        <v>61</v>
      </c>
      <c r="G31" s="1">
        <v>6565</v>
      </c>
      <c r="L31" s="15" t="s">
        <v>115</v>
      </c>
    </row>
    <row r="32" spans="4:13" x14ac:dyDescent="0.25">
      <c r="D32" s="1" t="s">
        <v>44</v>
      </c>
      <c r="E32" s="1" t="s">
        <v>49</v>
      </c>
      <c r="F32" s="1" t="s">
        <v>57</v>
      </c>
      <c r="G32" s="1">
        <v>4678</v>
      </c>
      <c r="L32" s="1"/>
    </row>
    <row r="33" spans="4:13" x14ac:dyDescent="0.25">
      <c r="D33" s="1" t="s">
        <v>36</v>
      </c>
      <c r="E33" s="1" t="s">
        <v>53</v>
      </c>
      <c r="F33" s="1" t="s">
        <v>60</v>
      </c>
      <c r="G33" s="1">
        <v>8832</v>
      </c>
      <c r="L33" s="1"/>
    </row>
    <row r="34" spans="4:13" x14ac:dyDescent="0.25">
      <c r="D34" s="1" t="s">
        <v>41</v>
      </c>
      <c r="E34" s="1" t="s">
        <v>53</v>
      </c>
      <c r="F34" s="1" t="s">
        <v>56</v>
      </c>
      <c r="G34" s="1">
        <v>5147</v>
      </c>
      <c r="I34">
        <f>AVERAGEIFS(G7:G42,G7:G42,"&lt;5000",D7:D42,D8)</f>
        <v>4788</v>
      </c>
      <c r="L34" s="25">
        <f>AVERAGEIFS(G8:G42,D8:D42,D8,G8:G42,"&lt;5000")</f>
        <v>4788</v>
      </c>
      <c r="M34" t="str">
        <f t="shared" ca="1" si="0"/>
        <v>=AVERAGEIFS(G8:G42,D8:D42,D8,G8:G42,"&lt;5000")</v>
      </c>
    </row>
    <row r="35" spans="4:13" x14ac:dyDescent="0.25">
      <c r="D35" s="1" t="s">
        <v>28</v>
      </c>
      <c r="E35" s="1" t="s">
        <v>53</v>
      </c>
      <c r="F35" s="1" t="s">
        <v>55</v>
      </c>
      <c r="G35" s="1">
        <v>4788</v>
      </c>
      <c r="L35" s="1"/>
    </row>
    <row r="36" spans="4:13" x14ac:dyDescent="0.25">
      <c r="D36" s="1" t="s">
        <v>29</v>
      </c>
      <c r="E36" s="1" t="s">
        <v>47</v>
      </c>
      <c r="F36" s="1" t="s">
        <v>62</v>
      </c>
      <c r="G36" s="1">
        <v>6142</v>
      </c>
      <c r="L36" s="1"/>
    </row>
    <row r="37" spans="4:13" x14ac:dyDescent="0.25">
      <c r="D37" s="1" t="s">
        <v>32</v>
      </c>
      <c r="E37" s="1" t="s">
        <v>47</v>
      </c>
      <c r="F37" s="1" t="s">
        <v>63</v>
      </c>
      <c r="G37" s="1">
        <v>5283</v>
      </c>
      <c r="L37" s="15" t="s">
        <v>111</v>
      </c>
    </row>
    <row r="38" spans="4:13" x14ac:dyDescent="0.25">
      <c r="D38" s="1" t="s">
        <v>42</v>
      </c>
      <c r="E38" s="1" t="s">
        <v>50</v>
      </c>
      <c r="F38" s="1" t="s">
        <v>61</v>
      </c>
      <c r="G38" s="1">
        <v>7949</v>
      </c>
      <c r="L38" s="11" t="s">
        <v>116</v>
      </c>
    </row>
    <row r="39" spans="4:13" x14ac:dyDescent="0.25">
      <c r="D39" s="1" t="s">
        <v>31</v>
      </c>
      <c r="E39" s="1" t="s">
        <v>54</v>
      </c>
      <c r="F39" s="1" t="s">
        <v>56</v>
      </c>
      <c r="G39" s="1">
        <v>8870</v>
      </c>
    </row>
    <row r="40" spans="4:13" x14ac:dyDescent="0.25">
      <c r="D40" s="1" t="s">
        <v>29</v>
      </c>
      <c r="E40" s="1" t="s">
        <v>49</v>
      </c>
      <c r="F40" s="1" t="s">
        <v>59</v>
      </c>
      <c r="G40" s="1">
        <v>4838</v>
      </c>
    </row>
    <row r="41" spans="4:13" x14ac:dyDescent="0.25">
      <c r="D41" s="1" t="s">
        <v>43</v>
      </c>
      <c r="E41" s="1" t="s">
        <v>48</v>
      </c>
      <c r="F41" s="1" t="s">
        <v>57</v>
      </c>
      <c r="G41" s="1">
        <v>8755</v>
      </c>
      <c r="L41" s="25">
        <f>AVERAGEIFS(G8:G42,D8:D42,D8,E8:E42,E8,F8:F42,F8,G8:G42,"&gt;5000")</f>
        <v>8003</v>
      </c>
      <c r="M41" t="str">
        <f t="shared" ca="1" si="0"/>
        <v>=AVERAGEIFS(G8:G42,D8:D42,D8,E8:E42,E8,F8:F42,F8,G8:G42,"&gt;5000")</v>
      </c>
    </row>
    <row r="42" spans="4:13" x14ac:dyDescent="0.25">
      <c r="D42" s="1" t="s">
        <v>30</v>
      </c>
      <c r="E42" s="1" t="s">
        <v>53</v>
      </c>
      <c r="F42" s="1" t="s">
        <v>58</v>
      </c>
      <c r="G42" s="1">
        <v>5968</v>
      </c>
    </row>
    <row r="43" spans="4:13" x14ac:dyDescent="0.25">
      <c r="L43" s="15" t="s">
        <v>111</v>
      </c>
    </row>
    <row r="44" spans="4:13" x14ac:dyDescent="0.25">
      <c r="L44" s="15" t="s">
        <v>117</v>
      </c>
    </row>
    <row r="45" spans="4:13" x14ac:dyDescent="0.25">
      <c r="L45" s="1"/>
    </row>
    <row r="46" spans="4:13" x14ac:dyDescent="0.25">
      <c r="L46" s="25">
        <f>AVERAGEIF(D8:D42,D9,G8:G42)</f>
        <v>6577.5</v>
      </c>
      <c r="M46" t="str">
        <f t="shared" ca="1" si="0"/>
        <v>=AVERAGEIF(D8:D42,D9,G8:G42)</v>
      </c>
    </row>
    <row r="47" spans="4:13" x14ac:dyDescent="0.25">
      <c r="L47" s="1"/>
    </row>
    <row r="48" spans="4:13" x14ac:dyDescent="0.25">
      <c r="L48" s="15" t="s">
        <v>111</v>
      </c>
    </row>
    <row r="49" spans="12:12" x14ac:dyDescent="0.25">
      <c r="L49" s="15" t="s">
        <v>118</v>
      </c>
    </row>
    <row r="51" spans="12:12" x14ac:dyDescent="0.25">
      <c r="L51" s="25">
        <f>AVERAGEIFS(G8:G42,G8:G42,"&gt;5000",G8:G42,"&lt;10000")</f>
        <v>6791.8965517241377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AACA2-DAE5-4918-9509-0EBBF2E6BC53}">
  <sheetPr codeName="Sheet7"/>
  <dimension ref="C8:U26"/>
  <sheetViews>
    <sheetView workbookViewId="0">
      <selection activeCell="N26" sqref="N26:N27"/>
    </sheetView>
  </sheetViews>
  <sheetFormatPr defaultRowHeight="15" x14ac:dyDescent="0.25"/>
  <cols>
    <col min="3" max="3" width="12.140625" customWidth="1"/>
    <col min="4" max="4" width="15.28515625" customWidth="1"/>
    <col min="5" max="5" width="11" customWidth="1"/>
    <col min="6" max="6" width="12.7109375" customWidth="1"/>
    <col min="7" max="7" width="15" customWidth="1"/>
    <col min="8" max="8" width="10.5703125" customWidth="1"/>
    <col min="9" max="9" width="8.28515625" customWidth="1"/>
    <col min="12" max="12" width="11.42578125" customWidth="1"/>
    <col min="14" max="14" width="25.42578125" customWidth="1"/>
    <col min="15" max="15" width="15" customWidth="1"/>
    <col min="16" max="16" width="17.85546875" customWidth="1"/>
    <col min="18" max="18" width="10.7109375" bestFit="1" customWidth="1"/>
    <col min="19" max="19" width="15.7109375" customWidth="1"/>
  </cols>
  <sheetData>
    <row r="8" spans="3:21" ht="40.5" customHeight="1" x14ac:dyDescent="0.25">
      <c r="C8" s="30" t="s">
        <v>120</v>
      </c>
      <c r="O8" s="31" t="s">
        <v>126</v>
      </c>
    </row>
    <row r="9" spans="3:21" ht="25.5" customHeight="1" x14ac:dyDescent="0.25">
      <c r="D9" s="27" t="s">
        <v>17</v>
      </c>
      <c r="E9" s="27" t="s">
        <v>121</v>
      </c>
      <c r="F9" s="27" t="s">
        <v>122</v>
      </c>
      <c r="G9" s="27" t="s">
        <v>123</v>
      </c>
      <c r="H9" s="27" t="s">
        <v>124</v>
      </c>
      <c r="I9" s="27" t="s">
        <v>125</v>
      </c>
      <c r="P9" s="27" t="s">
        <v>17</v>
      </c>
      <c r="Q9" s="27" t="s">
        <v>121</v>
      </c>
      <c r="R9" s="27" t="s">
        <v>122</v>
      </c>
      <c r="S9" s="27" t="s">
        <v>123</v>
      </c>
      <c r="T9" s="27" t="s">
        <v>124</v>
      </c>
      <c r="U9" s="27" t="s">
        <v>125</v>
      </c>
    </row>
    <row r="10" spans="3:21" x14ac:dyDescent="0.25">
      <c r="D10" s="28" t="s">
        <v>28</v>
      </c>
      <c r="E10" s="28">
        <v>855</v>
      </c>
      <c r="F10" s="29">
        <v>45648</v>
      </c>
      <c r="G10" s="28" t="s">
        <v>55</v>
      </c>
      <c r="H10" s="28">
        <v>21000</v>
      </c>
      <c r="I10" s="28">
        <v>20</v>
      </c>
      <c r="P10" s="1" t="s">
        <v>28</v>
      </c>
      <c r="Q10" s="1">
        <f>VLOOKUP($P10,$D$9:$I$23,MATCH(Q$9,$D$9:$I$9,0),0)</f>
        <v>855</v>
      </c>
      <c r="R10" s="236">
        <f t="shared" ref="R10:U19" si="0">VLOOKUP($P10,$D$9:$I$23,MATCH(R$9,$D$9:$I$9,0),0)</f>
        <v>45648</v>
      </c>
      <c r="S10" s="236" t="str">
        <f t="shared" si="0"/>
        <v>DELHI</v>
      </c>
      <c r="T10" s="236">
        <f t="shared" si="0"/>
        <v>21000</v>
      </c>
      <c r="U10" s="236">
        <f t="shared" si="0"/>
        <v>20</v>
      </c>
    </row>
    <row r="11" spans="3:21" x14ac:dyDescent="0.25">
      <c r="D11" s="28" t="s">
        <v>29</v>
      </c>
      <c r="E11" s="28">
        <v>672</v>
      </c>
      <c r="F11" s="29">
        <v>45649</v>
      </c>
      <c r="G11" s="28" t="s">
        <v>62</v>
      </c>
      <c r="H11" s="28">
        <v>22000</v>
      </c>
      <c r="I11" s="28">
        <v>21</v>
      </c>
      <c r="K11" t="s">
        <v>28</v>
      </c>
      <c r="L11">
        <f>VLOOKUP(K11,D9:I23,2,0)</f>
        <v>855</v>
      </c>
      <c r="N11" t="str">
        <f ca="1">_xlfn.FORMULATEXT(L11)</f>
        <v>=VLOOKUP(K11,D9:I23,2,0)</v>
      </c>
      <c r="P11" s="1" t="s">
        <v>29</v>
      </c>
      <c r="Q11" s="236">
        <f t="shared" ref="Q11:Q19" si="1">VLOOKUP($P11,$D$9:$I$23,MATCH(Q$9,$D$9:$I$9,0),0)</f>
        <v>672</v>
      </c>
      <c r="R11" s="236">
        <f t="shared" si="0"/>
        <v>45649</v>
      </c>
      <c r="S11" s="236" t="str">
        <f t="shared" si="0"/>
        <v>CHENNAI</v>
      </c>
      <c r="T11" s="236">
        <f t="shared" si="0"/>
        <v>22000</v>
      </c>
      <c r="U11" s="236">
        <f t="shared" si="0"/>
        <v>21</v>
      </c>
    </row>
    <row r="12" spans="3:21" x14ac:dyDescent="0.25">
      <c r="D12" s="28" t="s">
        <v>32</v>
      </c>
      <c r="E12" s="28">
        <v>985</v>
      </c>
      <c r="F12" s="29">
        <v>45650</v>
      </c>
      <c r="G12" s="28" t="s">
        <v>63</v>
      </c>
      <c r="H12" s="28">
        <v>23000</v>
      </c>
      <c r="I12" s="28">
        <v>22</v>
      </c>
      <c r="P12" s="1" t="s">
        <v>32</v>
      </c>
      <c r="Q12" s="236">
        <f t="shared" si="1"/>
        <v>985</v>
      </c>
      <c r="R12" s="236">
        <f t="shared" si="0"/>
        <v>45650</v>
      </c>
      <c r="S12" s="236" t="str">
        <f t="shared" si="0"/>
        <v>KERALA</v>
      </c>
      <c r="T12" s="236">
        <f t="shared" si="0"/>
        <v>23000</v>
      </c>
      <c r="U12" s="236">
        <f t="shared" si="0"/>
        <v>22</v>
      </c>
    </row>
    <row r="13" spans="3:21" x14ac:dyDescent="0.25">
      <c r="D13" s="28" t="s">
        <v>42</v>
      </c>
      <c r="E13" s="28">
        <v>727</v>
      </c>
      <c r="F13" s="29">
        <v>45651</v>
      </c>
      <c r="G13" s="28" t="s">
        <v>61</v>
      </c>
      <c r="H13" s="28">
        <v>24000</v>
      </c>
      <c r="I13" s="28">
        <v>23</v>
      </c>
      <c r="K13" t="s">
        <v>29</v>
      </c>
      <c r="L13" s="1" t="str">
        <f>VLOOKUP(K13,D9:I23,4,0)</f>
        <v>CHENNAI</v>
      </c>
      <c r="N13" t="str">
        <f ca="1">_xlfn.FORMULATEXT(L13)</f>
        <v>=VLOOKUP(K13,D9:I23,4,0)</v>
      </c>
      <c r="P13" s="1" t="s">
        <v>31</v>
      </c>
      <c r="Q13" s="236">
        <f t="shared" si="1"/>
        <v>761</v>
      </c>
      <c r="R13" s="236">
        <f t="shared" si="0"/>
        <v>45652</v>
      </c>
      <c r="S13" s="236" t="str">
        <f t="shared" si="0"/>
        <v>MUMBAI</v>
      </c>
      <c r="T13" s="236">
        <f t="shared" si="0"/>
        <v>25000</v>
      </c>
      <c r="U13" s="236">
        <f t="shared" si="0"/>
        <v>24</v>
      </c>
    </row>
    <row r="14" spans="3:21" x14ac:dyDescent="0.25">
      <c r="D14" s="28" t="s">
        <v>31</v>
      </c>
      <c r="E14" s="28">
        <v>761</v>
      </c>
      <c r="F14" s="29">
        <v>45652</v>
      </c>
      <c r="G14" s="28" t="s">
        <v>56</v>
      </c>
      <c r="H14" s="28">
        <v>25000</v>
      </c>
      <c r="I14" s="28">
        <v>24</v>
      </c>
      <c r="P14" s="1" t="s">
        <v>35</v>
      </c>
      <c r="Q14" s="236">
        <f t="shared" si="1"/>
        <v>703</v>
      </c>
      <c r="R14" s="236">
        <f t="shared" si="0"/>
        <v>45656</v>
      </c>
      <c r="S14" s="236" t="str">
        <f t="shared" si="0"/>
        <v>DELHI</v>
      </c>
      <c r="T14" s="236">
        <f t="shared" si="0"/>
        <v>29000</v>
      </c>
      <c r="U14" s="236">
        <f t="shared" si="0"/>
        <v>28</v>
      </c>
    </row>
    <row r="15" spans="3:21" x14ac:dyDescent="0.25">
      <c r="D15" s="28" t="s">
        <v>29</v>
      </c>
      <c r="E15" s="28">
        <v>583</v>
      </c>
      <c r="F15" s="29">
        <v>45653</v>
      </c>
      <c r="G15" s="28" t="s">
        <v>59</v>
      </c>
      <c r="H15" s="28">
        <v>26000</v>
      </c>
      <c r="I15" s="28">
        <v>25</v>
      </c>
      <c r="P15" s="1" t="s">
        <v>36</v>
      </c>
      <c r="Q15" s="236">
        <f t="shared" si="1"/>
        <v>921</v>
      </c>
      <c r="R15" s="236">
        <f t="shared" si="0"/>
        <v>45659</v>
      </c>
      <c r="S15" s="236" t="str">
        <f t="shared" si="0"/>
        <v>MP</v>
      </c>
      <c r="T15" s="236">
        <f t="shared" si="0"/>
        <v>32000</v>
      </c>
      <c r="U15" s="236">
        <f t="shared" si="0"/>
        <v>31</v>
      </c>
    </row>
    <row r="16" spans="3:21" x14ac:dyDescent="0.25">
      <c r="D16" s="28" t="s">
        <v>43</v>
      </c>
      <c r="E16" s="28">
        <v>725</v>
      </c>
      <c r="F16" s="29">
        <v>45654</v>
      </c>
      <c r="G16" s="28" t="s">
        <v>57</v>
      </c>
      <c r="H16" s="28">
        <v>27000</v>
      </c>
      <c r="I16" s="28">
        <v>26</v>
      </c>
      <c r="P16" s="1" t="s">
        <v>37</v>
      </c>
      <c r="Q16" s="236">
        <f t="shared" si="1"/>
        <v>590</v>
      </c>
      <c r="R16" s="236">
        <f t="shared" si="0"/>
        <v>45657</v>
      </c>
      <c r="S16" s="236" t="str">
        <f t="shared" si="0"/>
        <v>MUMBAI</v>
      </c>
      <c r="T16" s="236">
        <f t="shared" si="0"/>
        <v>30000</v>
      </c>
      <c r="U16" s="236">
        <f t="shared" si="0"/>
        <v>29</v>
      </c>
    </row>
    <row r="17" spans="4:21" x14ac:dyDescent="0.25">
      <c r="D17" s="28" t="s">
        <v>30</v>
      </c>
      <c r="E17" s="28">
        <v>812</v>
      </c>
      <c r="F17" s="29">
        <v>45655</v>
      </c>
      <c r="G17" s="28" t="s">
        <v>58</v>
      </c>
      <c r="H17" s="28">
        <v>28000</v>
      </c>
      <c r="I17" s="28">
        <v>27</v>
      </c>
      <c r="P17" s="1" t="s">
        <v>43</v>
      </c>
      <c r="Q17" s="236">
        <f t="shared" si="1"/>
        <v>725</v>
      </c>
      <c r="R17" s="236">
        <f t="shared" si="0"/>
        <v>45654</v>
      </c>
      <c r="S17" s="236" t="str">
        <f t="shared" si="0"/>
        <v>PUNE</v>
      </c>
      <c r="T17" s="236">
        <f t="shared" si="0"/>
        <v>27000</v>
      </c>
      <c r="U17" s="236">
        <f t="shared" si="0"/>
        <v>26</v>
      </c>
    </row>
    <row r="18" spans="4:21" x14ac:dyDescent="0.25">
      <c r="D18" s="28" t="s">
        <v>35</v>
      </c>
      <c r="E18" s="28">
        <v>703</v>
      </c>
      <c r="F18" s="29">
        <v>45656</v>
      </c>
      <c r="G18" s="28" t="s">
        <v>55</v>
      </c>
      <c r="H18" s="28">
        <v>29000</v>
      </c>
      <c r="I18" s="28">
        <v>28</v>
      </c>
      <c r="P18" s="1" t="s">
        <v>30</v>
      </c>
      <c r="Q18" s="236">
        <f t="shared" si="1"/>
        <v>812</v>
      </c>
      <c r="R18" s="236">
        <f t="shared" si="0"/>
        <v>45655</v>
      </c>
      <c r="S18" s="236" t="str">
        <f t="shared" si="0"/>
        <v>MP</v>
      </c>
      <c r="T18" s="236">
        <f t="shared" si="0"/>
        <v>28000</v>
      </c>
      <c r="U18" s="236">
        <f t="shared" si="0"/>
        <v>27</v>
      </c>
    </row>
    <row r="19" spans="4:21" x14ac:dyDescent="0.25">
      <c r="D19" s="28" t="s">
        <v>37</v>
      </c>
      <c r="E19" s="28">
        <v>590</v>
      </c>
      <c r="F19" s="29">
        <v>45657</v>
      </c>
      <c r="G19" s="28" t="s">
        <v>56</v>
      </c>
      <c r="H19" s="28">
        <v>30000</v>
      </c>
      <c r="I19" s="28">
        <v>29</v>
      </c>
      <c r="P19" s="1" t="s">
        <v>41</v>
      </c>
      <c r="Q19" s="236">
        <f t="shared" si="1"/>
        <v>770</v>
      </c>
      <c r="R19" s="236">
        <f t="shared" si="0"/>
        <v>45660</v>
      </c>
      <c r="S19" s="236" t="str">
        <f t="shared" si="0"/>
        <v>UTTAR PRADESH</v>
      </c>
      <c r="T19" s="236">
        <f t="shared" si="0"/>
        <v>33000</v>
      </c>
      <c r="U19" s="236">
        <f t="shared" si="0"/>
        <v>32</v>
      </c>
    </row>
    <row r="20" spans="4:21" x14ac:dyDescent="0.25">
      <c r="D20" s="28" t="s">
        <v>44</v>
      </c>
      <c r="E20" s="28">
        <v>943</v>
      </c>
      <c r="F20" s="29">
        <v>45658</v>
      </c>
      <c r="G20" s="28" t="s">
        <v>57</v>
      </c>
      <c r="H20" s="28">
        <v>31000</v>
      </c>
      <c r="I20" s="28">
        <v>30</v>
      </c>
    </row>
    <row r="21" spans="4:21" x14ac:dyDescent="0.25">
      <c r="D21" s="28" t="s">
        <v>36</v>
      </c>
      <c r="E21" s="28">
        <v>921</v>
      </c>
      <c r="F21" s="29">
        <v>45659</v>
      </c>
      <c r="G21" s="28" t="s">
        <v>58</v>
      </c>
      <c r="H21" s="28">
        <v>32000</v>
      </c>
      <c r="I21" s="28">
        <v>31</v>
      </c>
    </row>
    <row r="22" spans="4:21" x14ac:dyDescent="0.25">
      <c r="D22" s="28" t="s">
        <v>41</v>
      </c>
      <c r="E22" s="28">
        <v>770</v>
      </c>
      <c r="F22" s="29">
        <v>45660</v>
      </c>
      <c r="G22" s="28" t="s">
        <v>59</v>
      </c>
      <c r="H22" s="28">
        <v>33000</v>
      </c>
      <c r="I22" s="28">
        <v>32</v>
      </c>
    </row>
    <row r="23" spans="4:21" x14ac:dyDescent="0.25">
      <c r="D23" s="28" t="s">
        <v>40</v>
      </c>
      <c r="E23" s="28">
        <v>719</v>
      </c>
      <c r="F23" s="29">
        <v>45661</v>
      </c>
      <c r="G23" s="28" t="s">
        <v>60</v>
      </c>
      <c r="H23" s="28">
        <v>34000</v>
      </c>
      <c r="I23" s="28">
        <v>33</v>
      </c>
    </row>
    <row r="24" spans="4:21" x14ac:dyDescent="0.25">
      <c r="D24" s="26"/>
      <c r="E24" s="26"/>
      <c r="F24" s="26"/>
      <c r="G24" s="26"/>
      <c r="H24" s="26"/>
      <c r="I24" s="26"/>
    </row>
    <row r="25" spans="4:21" x14ac:dyDescent="0.25">
      <c r="D25" s="26"/>
      <c r="E25" s="26"/>
      <c r="F25" s="26"/>
      <c r="G25" s="26"/>
      <c r="H25" s="26"/>
      <c r="I25" s="26"/>
    </row>
    <row r="26" spans="4:21" x14ac:dyDescent="0.25">
      <c r="D26" s="26"/>
      <c r="E26" s="26"/>
      <c r="F26" s="26"/>
      <c r="G26" s="26"/>
      <c r="H26" s="26"/>
      <c r="I26" s="26"/>
    </row>
  </sheetData>
  <phoneticPr fontId="2"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2D973-DD2E-4E81-B97C-A2C89A129383}">
  <sheetPr codeName="Sheet8"/>
  <dimension ref="B8:T30"/>
  <sheetViews>
    <sheetView workbookViewId="0">
      <selection activeCell="R20" sqref="R20"/>
    </sheetView>
  </sheetViews>
  <sheetFormatPr defaultRowHeight="15" x14ac:dyDescent="0.25"/>
  <cols>
    <col min="2" max="2" width="18.42578125" customWidth="1"/>
    <col min="3" max="3" width="12.28515625" customWidth="1"/>
    <col min="5" max="5" width="15" customWidth="1"/>
    <col min="6" max="6" width="15.42578125" customWidth="1"/>
    <col min="11" max="11" width="12.42578125" customWidth="1"/>
    <col min="13" max="13" width="27.28515625" customWidth="1"/>
    <col min="15" max="15" width="14.42578125" customWidth="1"/>
    <col min="17" max="17" width="9.28515625" customWidth="1"/>
    <col min="18" max="18" width="13" customWidth="1"/>
  </cols>
  <sheetData>
    <row r="8" spans="2:13" x14ac:dyDescent="0.25">
      <c r="B8" s="33" t="s">
        <v>127</v>
      </c>
    </row>
    <row r="9" spans="2:13" x14ac:dyDescent="0.25">
      <c r="C9" s="33" t="s">
        <v>17</v>
      </c>
      <c r="D9" s="33" t="s">
        <v>121</v>
      </c>
      <c r="E9" s="33" t="s">
        <v>122</v>
      </c>
      <c r="F9" s="33" t="s">
        <v>123</v>
      </c>
      <c r="G9" s="33" t="s">
        <v>128</v>
      </c>
      <c r="H9" s="33" t="s">
        <v>125</v>
      </c>
    </row>
    <row r="10" spans="2:13" x14ac:dyDescent="0.25">
      <c r="C10" s="1" t="s">
        <v>28</v>
      </c>
      <c r="D10" s="1">
        <v>848</v>
      </c>
      <c r="E10" s="32">
        <v>45648</v>
      </c>
      <c r="F10" s="1" t="s">
        <v>55</v>
      </c>
      <c r="G10" s="1">
        <v>21000</v>
      </c>
      <c r="H10" s="1">
        <v>20</v>
      </c>
    </row>
    <row r="11" spans="2:13" x14ac:dyDescent="0.25">
      <c r="C11" s="1" t="s">
        <v>129</v>
      </c>
      <c r="D11" s="1">
        <v>868</v>
      </c>
      <c r="E11" s="32">
        <v>45649</v>
      </c>
      <c r="F11" s="1" t="s">
        <v>62</v>
      </c>
      <c r="G11" s="1">
        <v>22000</v>
      </c>
      <c r="H11" s="1">
        <v>21</v>
      </c>
      <c r="J11" t="s">
        <v>123</v>
      </c>
      <c r="K11" t="str">
        <f>HLOOKUP(J11,C9:H20,5,0)</f>
        <v>BANGLORE</v>
      </c>
      <c r="M11" s="1" t="str">
        <f ca="1">_xlfn.FORMULATEXT(K11)</f>
        <v>=HLOOKUP(J11,C9:H20,5,0)</v>
      </c>
    </row>
    <row r="12" spans="2:13" x14ac:dyDescent="0.25">
      <c r="C12" s="1" t="s">
        <v>130</v>
      </c>
      <c r="D12" s="1">
        <v>903</v>
      </c>
      <c r="E12" s="32">
        <v>45650</v>
      </c>
      <c r="F12" s="1" t="s">
        <v>63</v>
      </c>
      <c r="G12" s="1">
        <v>23000</v>
      </c>
      <c r="H12" s="1">
        <v>22</v>
      </c>
    </row>
    <row r="13" spans="2:13" x14ac:dyDescent="0.25">
      <c r="C13" s="1" t="s">
        <v>131</v>
      </c>
      <c r="D13" s="1">
        <v>532</v>
      </c>
      <c r="E13" s="32">
        <v>45651</v>
      </c>
      <c r="F13" s="1" t="s">
        <v>61</v>
      </c>
      <c r="G13" s="1">
        <v>24000</v>
      </c>
      <c r="H13" s="1">
        <v>23</v>
      </c>
    </row>
    <row r="14" spans="2:13" x14ac:dyDescent="0.25">
      <c r="C14" s="1" t="s">
        <v>132</v>
      </c>
      <c r="D14" s="1">
        <v>695</v>
      </c>
      <c r="E14" s="32">
        <v>45652</v>
      </c>
      <c r="F14" s="1" t="s">
        <v>56</v>
      </c>
      <c r="G14" s="1">
        <v>25000</v>
      </c>
      <c r="H14" s="1">
        <v>24</v>
      </c>
    </row>
    <row r="15" spans="2:13" x14ac:dyDescent="0.25">
      <c r="C15" s="1" t="s">
        <v>133</v>
      </c>
      <c r="D15" s="1">
        <v>550</v>
      </c>
      <c r="E15" s="32">
        <v>45653</v>
      </c>
      <c r="F15" s="1" t="s">
        <v>59</v>
      </c>
      <c r="G15" s="1">
        <v>26000</v>
      </c>
      <c r="H15" s="1">
        <v>25</v>
      </c>
    </row>
    <row r="16" spans="2:13" x14ac:dyDescent="0.25">
      <c r="C16" s="1" t="s">
        <v>134</v>
      </c>
      <c r="D16" s="1">
        <v>538</v>
      </c>
      <c r="E16" s="32">
        <v>45654</v>
      </c>
      <c r="F16" s="1" t="s">
        <v>57</v>
      </c>
      <c r="G16" s="1">
        <v>27000</v>
      </c>
      <c r="H16" s="1">
        <v>26</v>
      </c>
    </row>
    <row r="17" spans="3:20" x14ac:dyDescent="0.25">
      <c r="C17" s="1" t="s">
        <v>135</v>
      </c>
      <c r="D17" s="1">
        <v>856</v>
      </c>
      <c r="E17" s="32">
        <v>45655</v>
      </c>
      <c r="F17" s="1" t="s">
        <v>58</v>
      </c>
      <c r="G17" s="1">
        <v>28000</v>
      </c>
      <c r="H17" s="1">
        <v>27</v>
      </c>
    </row>
    <row r="18" spans="3:20" x14ac:dyDescent="0.25">
      <c r="C18" s="1" t="s">
        <v>136</v>
      </c>
      <c r="D18" s="1">
        <v>613</v>
      </c>
      <c r="E18" s="32">
        <v>45656</v>
      </c>
      <c r="F18" s="1" t="s">
        <v>55</v>
      </c>
      <c r="G18" s="1">
        <v>29000</v>
      </c>
      <c r="H18" s="1">
        <v>28</v>
      </c>
    </row>
    <row r="19" spans="3:20" x14ac:dyDescent="0.25">
      <c r="C19" s="1" t="s">
        <v>35</v>
      </c>
      <c r="D19" s="1">
        <v>483</v>
      </c>
      <c r="E19" s="32">
        <v>45657</v>
      </c>
      <c r="F19" s="1" t="s">
        <v>56</v>
      </c>
      <c r="G19" s="1">
        <v>30000</v>
      </c>
      <c r="H19" s="1">
        <v>29</v>
      </c>
      <c r="O19" s="33" t="s">
        <v>17</v>
      </c>
      <c r="P19" s="33" t="s">
        <v>121</v>
      </c>
      <c r="Q19" s="33" t="s">
        <v>122</v>
      </c>
      <c r="R19" s="33" t="s">
        <v>123</v>
      </c>
      <c r="S19" s="33" t="s">
        <v>128</v>
      </c>
      <c r="T19" s="33" t="s">
        <v>125</v>
      </c>
    </row>
    <row r="20" spans="3:20" x14ac:dyDescent="0.25">
      <c r="C20" s="1" t="s">
        <v>137</v>
      </c>
      <c r="D20" s="1">
        <v>577</v>
      </c>
      <c r="E20" s="32">
        <v>45658</v>
      </c>
      <c r="F20" s="1" t="s">
        <v>57</v>
      </c>
      <c r="G20" s="1">
        <v>31000</v>
      </c>
      <c r="H20" s="1">
        <v>30</v>
      </c>
      <c r="O20" s="1" t="s">
        <v>28</v>
      </c>
      <c r="P20">
        <f>HLOOKUP(P$19,$C$9:$H$20,MATCH($O20,$C$9:$C$20,0),0)</f>
        <v>848</v>
      </c>
      <c r="Q20">
        <f t="shared" ref="Q20:T30" si="0">HLOOKUP(Q$19,$C$9:$H$20,MATCH($O20,$C$9:$C$20,0),0)</f>
        <v>45648</v>
      </c>
      <c r="R20" t="str">
        <f t="shared" si="0"/>
        <v>DELHI</v>
      </c>
      <c r="S20">
        <f t="shared" si="0"/>
        <v>21000</v>
      </c>
      <c r="T20">
        <f t="shared" si="0"/>
        <v>20</v>
      </c>
    </row>
    <row r="21" spans="3:20" x14ac:dyDescent="0.25">
      <c r="O21" s="1" t="s">
        <v>129</v>
      </c>
      <c r="P21">
        <f t="shared" ref="P21:P30" si="1">HLOOKUP(P$19,$C$9:$H$20,MATCH($O21,$C$9:$C$20,0),0)</f>
        <v>868</v>
      </c>
      <c r="Q21">
        <f t="shared" si="0"/>
        <v>45649</v>
      </c>
      <c r="R21" t="str">
        <f t="shared" si="0"/>
        <v>CHENNAI</v>
      </c>
      <c r="S21">
        <f t="shared" si="0"/>
        <v>22000</v>
      </c>
      <c r="T21">
        <f t="shared" si="0"/>
        <v>21</v>
      </c>
    </row>
    <row r="22" spans="3:20" x14ac:dyDescent="0.25">
      <c r="O22" s="1" t="s">
        <v>130</v>
      </c>
      <c r="P22">
        <f t="shared" si="1"/>
        <v>903</v>
      </c>
      <c r="Q22">
        <f t="shared" si="0"/>
        <v>45650</v>
      </c>
      <c r="R22" t="str">
        <f t="shared" si="0"/>
        <v>KERALA</v>
      </c>
      <c r="S22">
        <f t="shared" si="0"/>
        <v>23000</v>
      </c>
      <c r="T22">
        <f t="shared" si="0"/>
        <v>22</v>
      </c>
    </row>
    <row r="23" spans="3:20" x14ac:dyDescent="0.25">
      <c r="O23" s="1" t="s">
        <v>131</v>
      </c>
      <c r="P23">
        <f t="shared" si="1"/>
        <v>532</v>
      </c>
      <c r="Q23">
        <f t="shared" si="0"/>
        <v>45651</v>
      </c>
      <c r="R23" t="str">
        <f t="shared" si="0"/>
        <v>BANGLORE</v>
      </c>
      <c r="S23">
        <f t="shared" si="0"/>
        <v>24000</v>
      </c>
      <c r="T23">
        <f t="shared" si="0"/>
        <v>23</v>
      </c>
    </row>
    <row r="24" spans="3:20" x14ac:dyDescent="0.25">
      <c r="O24" s="1" t="s">
        <v>132</v>
      </c>
      <c r="P24">
        <f t="shared" si="1"/>
        <v>695</v>
      </c>
      <c r="Q24">
        <f t="shared" si="0"/>
        <v>45652</v>
      </c>
      <c r="R24" t="str">
        <f t="shared" si="0"/>
        <v>MUMBAI</v>
      </c>
      <c r="S24">
        <f t="shared" si="0"/>
        <v>25000</v>
      </c>
      <c r="T24">
        <f t="shared" si="0"/>
        <v>24</v>
      </c>
    </row>
    <row r="25" spans="3:20" x14ac:dyDescent="0.25">
      <c r="C25" s="33" t="s">
        <v>17</v>
      </c>
      <c r="D25" s="33" t="s">
        <v>121</v>
      </c>
      <c r="E25" s="33" t="s">
        <v>122</v>
      </c>
      <c r="F25" s="33" t="s">
        <v>123</v>
      </c>
      <c r="G25" s="33" t="s">
        <v>128</v>
      </c>
      <c r="H25" s="33" t="s">
        <v>125</v>
      </c>
      <c r="O25" s="1" t="s">
        <v>133</v>
      </c>
      <c r="P25">
        <f t="shared" si="1"/>
        <v>550</v>
      </c>
      <c r="Q25">
        <f t="shared" si="0"/>
        <v>45653</v>
      </c>
      <c r="R25" t="str">
        <f t="shared" si="0"/>
        <v>UTTAR PRADESH</v>
      </c>
      <c r="S25">
        <f t="shared" si="0"/>
        <v>26000</v>
      </c>
      <c r="T25">
        <f t="shared" si="0"/>
        <v>25</v>
      </c>
    </row>
    <row r="26" spans="3:20" x14ac:dyDescent="0.25">
      <c r="C26" t="s">
        <v>28</v>
      </c>
      <c r="D26">
        <f>HLOOKUP(D$25,$C$9:$H$20,MATCH($C26,$C$9:$C$20,0),0)</f>
        <v>848</v>
      </c>
      <c r="E26">
        <f t="shared" ref="E26:H26" si="2">HLOOKUP(E$25,$C$9:$H$20,MATCH($C26,$C$9:$C$20,0),0)</f>
        <v>45648</v>
      </c>
      <c r="F26" t="str">
        <f t="shared" si="2"/>
        <v>DELHI</v>
      </c>
      <c r="G26">
        <f t="shared" si="2"/>
        <v>21000</v>
      </c>
      <c r="H26">
        <f t="shared" si="2"/>
        <v>20</v>
      </c>
      <c r="O26" s="1" t="s">
        <v>134</v>
      </c>
      <c r="P26">
        <f t="shared" si="1"/>
        <v>538</v>
      </c>
      <c r="Q26">
        <f t="shared" si="0"/>
        <v>45654</v>
      </c>
      <c r="R26" t="str">
        <f t="shared" si="0"/>
        <v>PUNE</v>
      </c>
      <c r="S26">
        <f t="shared" si="0"/>
        <v>27000</v>
      </c>
      <c r="T26">
        <f t="shared" si="0"/>
        <v>26</v>
      </c>
    </row>
    <row r="27" spans="3:20" x14ac:dyDescent="0.25">
      <c r="O27" s="1" t="s">
        <v>135</v>
      </c>
      <c r="P27">
        <f t="shared" si="1"/>
        <v>856</v>
      </c>
      <c r="Q27">
        <f t="shared" si="0"/>
        <v>45655</v>
      </c>
      <c r="R27" t="str">
        <f t="shared" si="0"/>
        <v>MP</v>
      </c>
      <c r="S27">
        <f t="shared" si="0"/>
        <v>28000</v>
      </c>
      <c r="T27">
        <f t="shared" si="0"/>
        <v>27</v>
      </c>
    </row>
    <row r="28" spans="3:20" x14ac:dyDescent="0.25">
      <c r="O28" s="1" t="s">
        <v>136</v>
      </c>
      <c r="P28">
        <f t="shared" si="1"/>
        <v>613</v>
      </c>
      <c r="Q28">
        <f t="shared" si="0"/>
        <v>45656</v>
      </c>
      <c r="R28" t="str">
        <f t="shared" si="0"/>
        <v>DELHI</v>
      </c>
      <c r="S28">
        <f t="shared" si="0"/>
        <v>29000</v>
      </c>
      <c r="T28">
        <f t="shared" si="0"/>
        <v>28</v>
      </c>
    </row>
    <row r="29" spans="3:20" x14ac:dyDescent="0.25">
      <c r="O29" s="1" t="s">
        <v>35</v>
      </c>
      <c r="P29">
        <f t="shared" si="1"/>
        <v>483</v>
      </c>
      <c r="Q29">
        <f t="shared" si="0"/>
        <v>45657</v>
      </c>
      <c r="R29" t="str">
        <f t="shared" si="0"/>
        <v>MUMBAI</v>
      </c>
      <c r="S29">
        <f t="shared" si="0"/>
        <v>30000</v>
      </c>
      <c r="T29">
        <f t="shared" si="0"/>
        <v>29</v>
      </c>
    </row>
    <row r="30" spans="3:20" x14ac:dyDescent="0.25">
      <c r="O30" s="1" t="s">
        <v>137</v>
      </c>
      <c r="P30">
        <f t="shared" si="1"/>
        <v>577</v>
      </c>
      <c r="Q30">
        <f t="shared" si="0"/>
        <v>45658</v>
      </c>
      <c r="R30" t="str">
        <f t="shared" si="0"/>
        <v>PUNE</v>
      </c>
      <c r="S30">
        <f t="shared" si="0"/>
        <v>31000</v>
      </c>
      <c r="T30">
        <f t="shared" si="0"/>
        <v>30</v>
      </c>
    </row>
  </sheetData>
  <phoneticPr fontId="2"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51457-0B78-4402-AFED-9ABA4798B55C}">
  <sheetPr codeName="Sheet9"/>
  <dimension ref="C6:O25"/>
  <sheetViews>
    <sheetView workbookViewId="0">
      <selection activeCell="J18" sqref="J18"/>
    </sheetView>
  </sheetViews>
  <sheetFormatPr defaultRowHeight="15" x14ac:dyDescent="0.25"/>
  <cols>
    <col min="1" max="2" width="9.140625" style="233"/>
    <col min="3" max="3" width="11.7109375" style="233" customWidth="1"/>
    <col min="4" max="5" width="9.140625" style="233"/>
    <col min="6" max="6" width="28.7109375" style="233" customWidth="1"/>
    <col min="7" max="7" width="11.85546875" style="233" customWidth="1"/>
    <col min="8" max="8" width="12.7109375" style="233" customWidth="1"/>
    <col min="9" max="9" width="15.42578125" style="233" customWidth="1"/>
    <col min="10" max="10" width="16.140625" style="233" customWidth="1"/>
    <col min="11" max="11" width="13.7109375" style="233" customWidth="1"/>
    <col min="12" max="12" width="12.28515625" style="233" customWidth="1"/>
    <col min="13" max="13" width="14" style="233" customWidth="1"/>
    <col min="14" max="14" width="9.140625" style="233"/>
    <col min="15" max="15" width="66.42578125" style="233" customWidth="1"/>
    <col min="16" max="16" width="12.28515625" style="233" customWidth="1"/>
    <col min="17" max="16384" width="9.140625" style="233"/>
  </cols>
  <sheetData>
    <row r="6" spans="3:13" x14ac:dyDescent="0.25">
      <c r="C6" s="54" t="s">
        <v>153</v>
      </c>
    </row>
    <row r="8" spans="3:13" x14ac:dyDescent="0.25">
      <c r="C8" s="38" t="s">
        <v>148</v>
      </c>
      <c r="D8" s="38" cm="1">
        <f t="array" ref="D8:D11">MATCH($C$8:$C$11,J9:J16,0)</f>
        <v>4</v>
      </c>
      <c r="H8" s="235" t="s">
        <v>154</v>
      </c>
      <c r="I8" s="39" t="s">
        <v>140</v>
      </c>
      <c r="J8" s="39" t="s">
        <v>141</v>
      </c>
      <c r="K8" s="39" t="s">
        <v>142</v>
      </c>
      <c r="L8" s="39" t="s">
        <v>143</v>
      </c>
      <c r="M8" s="39" t="s">
        <v>144</v>
      </c>
    </row>
    <row r="9" spans="3:13" x14ac:dyDescent="0.25">
      <c r="C9" s="38" t="s">
        <v>149</v>
      </c>
      <c r="D9" s="38">
        <v>5</v>
      </c>
      <c r="F9" s="232" t="str">
        <f ca="1">_xlfn.FORMULATEXT(D8)</f>
        <v>=MATCH($C$8:$C$11,J9:J16,0)</v>
      </c>
      <c r="H9" s="235">
        <v>1</v>
      </c>
      <c r="I9" s="16">
        <v>102</v>
      </c>
      <c r="J9" s="16" t="s">
        <v>145</v>
      </c>
      <c r="K9" s="16">
        <v>8</v>
      </c>
      <c r="L9" s="16">
        <v>980</v>
      </c>
      <c r="M9" s="16">
        <v>2543</v>
      </c>
    </row>
    <row r="10" spans="3:13" x14ac:dyDescent="0.25">
      <c r="C10" s="38" t="s">
        <v>150</v>
      </c>
      <c r="D10" s="38">
        <v>6</v>
      </c>
      <c r="H10" s="235">
        <v>2</v>
      </c>
      <c r="I10" s="16">
        <v>153</v>
      </c>
      <c r="J10" s="16" t="s">
        <v>146</v>
      </c>
      <c r="K10" s="16">
        <v>1</v>
      </c>
      <c r="L10" s="16">
        <v>850</v>
      </c>
      <c r="M10" s="16">
        <v>2807</v>
      </c>
    </row>
    <row r="11" spans="3:13" x14ac:dyDescent="0.25">
      <c r="C11" s="38" t="s">
        <v>151</v>
      </c>
      <c r="D11" s="38">
        <v>7</v>
      </c>
      <c r="H11" s="235">
        <v>3</v>
      </c>
      <c r="I11" s="16">
        <v>130</v>
      </c>
      <c r="J11" s="16" t="s">
        <v>147</v>
      </c>
      <c r="K11" s="16">
        <v>6</v>
      </c>
      <c r="L11" s="16">
        <v>899</v>
      </c>
      <c r="M11" s="16">
        <v>2751</v>
      </c>
    </row>
    <row r="12" spans="3:13" x14ac:dyDescent="0.25">
      <c r="H12" s="235">
        <v>4</v>
      </c>
      <c r="I12" s="16">
        <v>123</v>
      </c>
      <c r="J12" s="16" t="s">
        <v>148</v>
      </c>
      <c r="K12" s="16">
        <v>4</v>
      </c>
      <c r="L12" s="16">
        <v>537</v>
      </c>
      <c r="M12" s="16">
        <v>2168</v>
      </c>
    </row>
    <row r="13" spans="3:13" x14ac:dyDescent="0.25">
      <c r="H13" s="235">
        <v>5</v>
      </c>
      <c r="I13" s="16">
        <v>168</v>
      </c>
      <c r="J13" s="16" t="s">
        <v>149</v>
      </c>
      <c r="K13" s="16">
        <v>2</v>
      </c>
      <c r="L13" s="16">
        <v>843</v>
      </c>
      <c r="M13" s="16">
        <v>1417</v>
      </c>
    </row>
    <row r="14" spans="3:13" x14ac:dyDescent="0.25">
      <c r="H14" s="235">
        <v>6</v>
      </c>
      <c r="I14" s="16">
        <v>194</v>
      </c>
      <c r="J14" s="16" t="s">
        <v>150</v>
      </c>
      <c r="K14" s="16">
        <v>5</v>
      </c>
      <c r="L14" s="16">
        <v>939</v>
      </c>
      <c r="M14" s="16">
        <v>2936</v>
      </c>
    </row>
    <row r="15" spans="3:13" x14ac:dyDescent="0.25">
      <c r="H15" s="235">
        <v>7</v>
      </c>
      <c r="I15" s="16">
        <v>165</v>
      </c>
      <c r="J15" s="16" t="s">
        <v>151</v>
      </c>
      <c r="K15" s="16">
        <v>10</v>
      </c>
      <c r="L15" s="16">
        <v>810</v>
      </c>
      <c r="M15" s="16">
        <v>2804</v>
      </c>
    </row>
    <row r="16" spans="3:13" x14ac:dyDescent="0.25">
      <c r="H16" s="235">
        <v>8</v>
      </c>
      <c r="I16" s="16">
        <v>160</v>
      </c>
      <c r="J16" s="16" t="s">
        <v>152</v>
      </c>
      <c r="K16" s="16">
        <v>5</v>
      </c>
      <c r="L16" s="16">
        <v>568</v>
      </c>
      <c r="M16" s="16">
        <v>1447</v>
      </c>
    </row>
    <row r="20" spans="9:15" x14ac:dyDescent="0.25">
      <c r="I20" s="234" cm="1">
        <f t="array" ref="I20:M20">MATCH(I21:M21,$I$8:$M$8,0)</f>
        <v>2</v>
      </c>
      <c r="J20" s="234">
        <v>3</v>
      </c>
      <c r="K20" s="234">
        <v>1</v>
      </c>
      <c r="L20" s="234">
        <v>5</v>
      </c>
      <c r="M20" s="234">
        <v>4</v>
      </c>
      <c r="O20" s="232" t="str">
        <f ca="1">_xlfn.FORMULATEXT(I20)</f>
        <v>=MATCH(I21:M21,$I$8:$M$8,0)</v>
      </c>
    </row>
    <row r="21" spans="9:15" x14ac:dyDescent="0.25">
      <c r="I21" s="39" t="s">
        <v>141</v>
      </c>
      <c r="J21" s="39" t="s">
        <v>142</v>
      </c>
      <c r="K21" s="39" t="s">
        <v>140</v>
      </c>
      <c r="L21" s="39" t="s">
        <v>144</v>
      </c>
      <c r="M21" s="39" t="s">
        <v>143</v>
      </c>
      <c r="O21" s="232"/>
    </row>
    <row r="22" spans="9:15" x14ac:dyDescent="0.25">
      <c r="I22" s="233" t="s">
        <v>150</v>
      </c>
      <c r="J22" s="233">
        <f>INDEX($I$8:$M$16,MATCH($I22,$J$8:$J$16,0),MATCH(J$21,$I$8:$M$8,0))</f>
        <v>5</v>
      </c>
      <c r="K22" s="240">
        <f t="shared" ref="K22:M25" si="0">INDEX($I$8:$M$16,MATCH($I22,$J$8:$J$16,0),MATCH(K$21,$I$8:$M$8,0))</f>
        <v>194</v>
      </c>
      <c r="L22" s="240">
        <f t="shared" si="0"/>
        <v>2936</v>
      </c>
      <c r="M22" s="240">
        <f t="shared" si="0"/>
        <v>939</v>
      </c>
    </row>
    <row r="23" spans="9:15" x14ac:dyDescent="0.25">
      <c r="I23" s="233" t="s">
        <v>151</v>
      </c>
      <c r="J23" s="240">
        <f t="shared" ref="J23:J25" si="1">INDEX($I$8:$M$16,MATCH($I23,$J$8:$J$16,0),MATCH(J$21,$I$8:$M$8,0))</f>
        <v>10</v>
      </c>
      <c r="K23" s="240">
        <f t="shared" si="0"/>
        <v>165</v>
      </c>
      <c r="L23" s="240">
        <f t="shared" si="0"/>
        <v>2804</v>
      </c>
      <c r="M23" s="240">
        <f t="shared" si="0"/>
        <v>810</v>
      </c>
    </row>
    <row r="24" spans="9:15" x14ac:dyDescent="0.25">
      <c r="I24" s="233" t="s">
        <v>149</v>
      </c>
      <c r="J24" s="240">
        <f t="shared" si="1"/>
        <v>2</v>
      </c>
      <c r="K24" s="240">
        <f t="shared" si="0"/>
        <v>168</v>
      </c>
      <c r="L24" s="240">
        <f t="shared" si="0"/>
        <v>1417</v>
      </c>
      <c r="M24" s="240">
        <f t="shared" si="0"/>
        <v>843</v>
      </c>
    </row>
    <row r="25" spans="9:15" x14ac:dyDescent="0.25">
      <c r="I25" s="233" t="s">
        <v>146</v>
      </c>
      <c r="J25" s="240">
        <f t="shared" si="1"/>
        <v>1</v>
      </c>
      <c r="K25" s="240">
        <f t="shared" si="0"/>
        <v>153</v>
      </c>
      <c r="L25" s="240">
        <f t="shared" si="0"/>
        <v>2807</v>
      </c>
      <c r="M25" s="240">
        <f t="shared" si="0"/>
        <v>850</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0135F-97EC-4FE9-BD09-B3F060AA6CF9}">
  <sheetPr codeName="Sheet10"/>
  <dimension ref="B7:N36"/>
  <sheetViews>
    <sheetView workbookViewId="0">
      <selection activeCell="I17" sqref="I17"/>
    </sheetView>
  </sheetViews>
  <sheetFormatPr defaultRowHeight="15" x14ac:dyDescent="0.25"/>
  <cols>
    <col min="2" max="2" width="17.5703125" customWidth="1"/>
    <col min="3" max="3" width="12.140625" customWidth="1"/>
    <col min="4" max="4" width="12.85546875" customWidth="1"/>
    <col min="5" max="5" width="14.28515625" customWidth="1"/>
    <col min="11" max="11" width="18.42578125" customWidth="1"/>
    <col min="12" max="12" width="14.7109375" customWidth="1"/>
    <col min="13" max="13" width="13" customWidth="1"/>
    <col min="14" max="14" width="19.140625" customWidth="1"/>
  </cols>
  <sheetData>
    <row r="7" spans="2:14" x14ac:dyDescent="0.25">
      <c r="B7" s="6" t="s">
        <v>17</v>
      </c>
      <c r="C7" s="6" t="s">
        <v>125</v>
      </c>
      <c r="D7" s="41" t="s">
        <v>155</v>
      </c>
      <c r="E7" s="41" t="s">
        <v>156</v>
      </c>
      <c r="K7" s="41" t="s">
        <v>17</v>
      </c>
      <c r="L7" s="41" t="s">
        <v>125</v>
      </c>
      <c r="M7" s="41" t="s">
        <v>155</v>
      </c>
      <c r="N7" s="41" t="s">
        <v>156</v>
      </c>
    </row>
    <row r="8" spans="2:14" x14ac:dyDescent="0.25">
      <c r="B8" s="1" t="s">
        <v>28</v>
      </c>
      <c r="C8" s="1">
        <v>63</v>
      </c>
      <c r="D8" s="16" t="b">
        <f>ISEVEN(C8)</f>
        <v>0</v>
      </c>
      <c r="E8" s="42" t="b">
        <f>ISODD(C8)</f>
        <v>1</v>
      </c>
      <c r="K8" s="1" t="s">
        <v>28</v>
      </c>
      <c r="L8" s="1">
        <v>63</v>
      </c>
      <c r="M8" s="223" t="str">
        <f>IF(ISEVEN(L8)=TRUE,L8,"")</f>
        <v/>
      </c>
      <c r="N8" s="223">
        <f>IF(ISODD(L8)=TRUE,L8,"")</f>
        <v>63</v>
      </c>
    </row>
    <row r="9" spans="2:14" x14ac:dyDescent="0.25">
      <c r="B9" s="1" t="s">
        <v>29</v>
      </c>
      <c r="C9" s="1">
        <v>65</v>
      </c>
      <c r="D9" s="16" t="b">
        <f t="shared" ref="D9:D36" si="0">ISEVEN(C9)</f>
        <v>0</v>
      </c>
      <c r="E9" s="42" t="b">
        <f t="shared" ref="E9:E36" si="1">ISODD(C9)</f>
        <v>1</v>
      </c>
      <c r="K9" s="1" t="s">
        <v>29</v>
      </c>
      <c r="L9" s="1">
        <v>65</v>
      </c>
      <c r="M9" s="223" t="str">
        <f t="shared" ref="M9:M36" si="2">IF(ISEVEN(L9)=TRUE,L9,"")</f>
        <v/>
      </c>
      <c r="N9" s="223">
        <f>IF(ISODD(L9)=TRUE,L9,"")</f>
        <v>65</v>
      </c>
    </row>
    <row r="10" spans="2:14" x14ac:dyDescent="0.25">
      <c r="B10" s="1" t="s">
        <v>32</v>
      </c>
      <c r="C10" s="1">
        <v>20</v>
      </c>
      <c r="D10" s="16" t="b">
        <f t="shared" si="0"/>
        <v>1</v>
      </c>
      <c r="E10" s="42" t="b">
        <f t="shared" si="1"/>
        <v>0</v>
      </c>
      <c r="K10" s="1" t="s">
        <v>32</v>
      </c>
      <c r="L10" s="1">
        <v>20</v>
      </c>
      <c r="M10" s="223">
        <f t="shared" si="2"/>
        <v>20</v>
      </c>
      <c r="N10" s="223" t="str">
        <f t="shared" ref="N10:N36" si="3">IF(ISODD(L10)=TRUE,L10,"")</f>
        <v/>
      </c>
    </row>
    <row r="11" spans="2:14" x14ac:dyDescent="0.25">
      <c r="B11" s="1" t="s">
        <v>42</v>
      </c>
      <c r="C11" s="1">
        <v>25</v>
      </c>
      <c r="D11" s="16" t="b">
        <f t="shared" si="0"/>
        <v>0</v>
      </c>
      <c r="E11" s="42" t="b">
        <f t="shared" si="1"/>
        <v>1</v>
      </c>
      <c r="K11" s="1" t="s">
        <v>42</v>
      </c>
      <c r="L11" s="1">
        <v>25</v>
      </c>
      <c r="M11" s="223" t="str">
        <f t="shared" si="2"/>
        <v/>
      </c>
      <c r="N11" s="223">
        <f t="shared" si="3"/>
        <v>25</v>
      </c>
    </row>
    <row r="12" spans="2:14" x14ac:dyDescent="0.25">
      <c r="B12" s="1" t="s">
        <v>31</v>
      </c>
      <c r="C12" s="1">
        <v>38</v>
      </c>
      <c r="D12" s="16" t="b">
        <f t="shared" si="0"/>
        <v>1</v>
      </c>
      <c r="E12" s="42" t="b">
        <f t="shared" si="1"/>
        <v>0</v>
      </c>
      <c r="K12" s="1" t="s">
        <v>31</v>
      </c>
      <c r="L12" s="1">
        <v>38</v>
      </c>
      <c r="M12" s="223">
        <f t="shared" si="2"/>
        <v>38</v>
      </c>
      <c r="N12" s="223" t="str">
        <f t="shared" si="3"/>
        <v/>
      </c>
    </row>
    <row r="13" spans="2:14" x14ac:dyDescent="0.25">
      <c r="B13" s="1" t="s">
        <v>29</v>
      </c>
      <c r="C13" s="1">
        <v>21</v>
      </c>
      <c r="D13" s="16" t="b">
        <f t="shared" si="0"/>
        <v>0</v>
      </c>
      <c r="E13" s="42" t="b">
        <f t="shared" si="1"/>
        <v>1</v>
      </c>
      <c r="K13" s="1" t="s">
        <v>29</v>
      </c>
      <c r="L13" s="1">
        <v>21</v>
      </c>
      <c r="M13" s="223" t="str">
        <f t="shared" si="2"/>
        <v/>
      </c>
      <c r="N13" s="223">
        <f t="shared" si="3"/>
        <v>21</v>
      </c>
    </row>
    <row r="14" spans="2:14" x14ac:dyDescent="0.25">
      <c r="B14" s="1" t="s">
        <v>43</v>
      </c>
      <c r="C14" s="1">
        <v>29</v>
      </c>
      <c r="D14" s="16" t="b">
        <f t="shared" si="0"/>
        <v>0</v>
      </c>
      <c r="E14" s="42" t="b">
        <f t="shared" si="1"/>
        <v>1</v>
      </c>
      <c r="K14" s="1" t="s">
        <v>43</v>
      </c>
      <c r="L14" s="1">
        <v>29</v>
      </c>
      <c r="M14" s="223" t="str">
        <f t="shared" si="2"/>
        <v/>
      </c>
      <c r="N14" s="223">
        <f t="shared" si="3"/>
        <v>29</v>
      </c>
    </row>
    <row r="15" spans="2:14" x14ac:dyDescent="0.25">
      <c r="B15" s="1" t="s">
        <v>30</v>
      </c>
      <c r="C15" s="1">
        <v>43</v>
      </c>
      <c r="D15" s="16" t="b">
        <f t="shared" si="0"/>
        <v>0</v>
      </c>
      <c r="E15" s="42" t="b">
        <f t="shared" si="1"/>
        <v>1</v>
      </c>
      <c r="K15" s="1" t="s">
        <v>30</v>
      </c>
      <c r="L15" s="1">
        <v>43</v>
      </c>
      <c r="M15" s="223" t="str">
        <f t="shared" si="2"/>
        <v/>
      </c>
      <c r="N15" s="223">
        <f t="shared" si="3"/>
        <v>43</v>
      </c>
    </row>
    <row r="16" spans="2:14" x14ac:dyDescent="0.25">
      <c r="B16" s="1" t="s">
        <v>28</v>
      </c>
      <c r="C16" s="1">
        <v>59</v>
      </c>
      <c r="D16" s="16" t="b">
        <f t="shared" si="0"/>
        <v>0</v>
      </c>
      <c r="E16" s="42" t="b">
        <f t="shared" si="1"/>
        <v>1</v>
      </c>
      <c r="K16" s="1" t="s">
        <v>28</v>
      </c>
      <c r="L16" s="1">
        <v>59</v>
      </c>
      <c r="M16" s="223" t="str">
        <f t="shared" si="2"/>
        <v/>
      </c>
      <c r="N16" s="223">
        <f t="shared" si="3"/>
        <v>59</v>
      </c>
    </row>
    <row r="17" spans="2:14" x14ac:dyDescent="0.25">
      <c r="B17" s="1" t="s">
        <v>29</v>
      </c>
      <c r="C17" s="1">
        <v>28</v>
      </c>
      <c r="D17" s="16" t="b">
        <f t="shared" si="0"/>
        <v>1</v>
      </c>
      <c r="E17" s="42" t="b">
        <f t="shared" si="1"/>
        <v>0</v>
      </c>
      <c r="K17" s="1" t="s">
        <v>29</v>
      </c>
      <c r="L17" s="1">
        <v>28</v>
      </c>
      <c r="M17" s="223">
        <f t="shared" si="2"/>
        <v>28</v>
      </c>
      <c r="N17" s="223" t="str">
        <f t="shared" si="3"/>
        <v/>
      </c>
    </row>
    <row r="18" spans="2:14" x14ac:dyDescent="0.25">
      <c r="B18" s="1" t="s">
        <v>32</v>
      </c>
      <c r="C18" s="1">
        <v>63</v>
      </c>
      <c r="D18" s="16" t="b">
        <f t="shared" si="0"/>
        <v>0</v>
      </c>
      <c r="E18" s="42" t="b">
        <f t="shared" si="1"/>
        <v>1</v>
      </c>
      <c r="K18" s="1" t="s">
        <v>32</v>
      </c>
      <c r="L18" s="1">
        <v>28</v>
      </c>
      <c r="M18" s="223">
        <f t="shared" si="2"/>
        <v>28</v>
      </c>
      <c r="N18" s="223" t="str">
        <f t="shared" si="3"/>
        <v/>
      </c>
    </row>
    <row r="19" spans="2:14" x14ac:dyDescent="0.25">
      <c r="B19" s="1" t="s">
        <v>41</v>
      </c>
      <c r="C19" s="1">
        <v>47</v>
      </c>
      <c r="D19" s="16" t="b">
        <f t="shared" si="0"/>
        <v>0</v>
      </c>
      <c r="E19" s="42" t="b">
        <f t="shared" si="1"/>
        <v>1</v>
      </c>
      <c r="K19" s="1" t="s">
        <v>41</v>
      </c>
      <c r="L19" s="1">
        <v>47</v>
      </c>
      <c r="M19" s="223" t="str">
        <f t="shared" si="2"/>
        <v/>
      </c>
      <c r="N19" s="223">
        <f t="shared" si="3"/>
        <v>47</v>
      </c>
    </row>
    <row r="20" spans="2:14" x14ac:dyDescent="0.25">
      <c r="B20" s="1" t="s">
        <v>42</v>
      </c>
      <c r="C20" s="1">
        <v>34</v>
      </c>
      <c r="D20" s="16" t="b">
        <f t="shared" si="0"/>
        <v>1</v>
      </c>
      <c r="E20" s="42" t="b">
        <f t="shared" si="1"/>
        <v>0</v>
      </c>
      <c r="K20" s="1" t="s">
        <v>42</v>
      </c>
      <c r="L20" s="1">
        <v>34</v>
      </c>
      <c r="M20" s="223">
        <f t="shared" si="2"/>
        <v>34</v>
      </c>
      <c r="N20" s="223" t="str">
        <f t="shared" si="3"/>
        <v/>
      </c>
    </row>
    <row r="21" spans="2:14" x14ac:dyDescent="0.25">
      <c r="B21" s="1" t="s">
        <v>36</v>
      </c>
      <c r="C21" s="1">
        <v>33</v>
      </c>
      <c r="D21" s="16" t="b">
        <f t="shared" si="0"/>
        <v>0</v>
      </c>
      <c r="E21" s="42" t="b">
        <f t="shared" si="1"/>
        <v>1</v>
      </c>
      <c r="K21" s="1" t="s">
        <v>36</v>
      </c>
      <c r="L21" s="1">
        <v>33</v>
      </c>
      <c r="M21" s="223" t="str">
        <f t="shared" si="2"/>
        <v/>
      </c>
      <c r="N21" s="223">
        <f t="shared" si="3"/>
        <v>33</v>
      </c>
    </row>
    <row r="22" spans="2:14" x14ac:dyDescent="0.25">
      <c r="B22" s="1" t="s">
        <v>31</v>
      </c>
      <c r="C22" s="1">
        <v>35</v>
      </c>
      <c r="D22" s="16" t="b">
        <f t="shared" si="0"/>
        <v>0</v>
      </c>
      <c r="E22" s="42" t="b">
        <f t="shared" si="1"/>
        <v>1</v>
      </c>
      <c r="K22" s="1" t="s">
        <v>31</v>
      </c>
      <c r="L22" s="1">
        <v>35</v>
      </c>
      <c r="M22" s="223" t="str">
        <f t="shared" si="2"/>
        <v/>
      </c>
      <c r="N22" s="223">
        <f t="shared" si="3"/>
        <v>35</v>
      </c>
    </row>
    <row r="23" spans="2:14" x14ac:dyDescent="0.25">
      <c r="B23" s="1" t="s">
        <v>30</v>
      </c>
      <c r="C23" s="1">
        <v>57</v>
      </c>
      <c r="D23" s="16" t="b">
        <f t="shared" si="0"/>
        <v>0</v>
      </c>
      <c r="E23" s="42" t="b">
        <f t="shared" si="1"/>
        <v>1</v>
      </c>
      <c r="K23" s="1" t="s">
        <v>30</v>
      </c>
      <c r="L23" s="1">
        <v>57</v>
      </c>
      <c r="M23" s="223" t="str">
        <f t="shared" si="2"/>
        <v/>
      </c>
      <c r="N23" s="223">
        <f t="shared" si="3"/>
        <v>57</v>
      </c>
    </row>
    <row r="24" spans="2:14" x14ac:dyDescent="0.25">
      <c r="B24" s="1" t="s">
        <v>40</v>
      </c>
      <c r="C24" s="1">
        <v>34</v>
      </c>
      <c r="D24" s="16" t="b">
        <f t="shared" si="0"/>
        <v>1</v>
      </c>
      <c r="E24" s="42" t="b">
        <f t="shared" si="1"/>
        <v>0</v>
      </c>
      <c r="K24" s="1" t="s">
        <v>40</v>
      </c>
      <c r="L24" s="1">
        <v>34</v>
      </c>
      <c r="M24" s="223">
        <f t="shared" si="2"/>
        <v>34</v>
      </c>
      <c r="N24" s="223" t="str">
        <f t="shared" si="3"/>
        <v/>
      </c>
    </row>
    <row r="25" spans="2:14" x14ac:dyDescent="0.25">
      <c r="B25" s="1" t="s">
        <v>43</v>
      </c>
      <c r="C25" s="1">
        <v>37</v>
      </c>
      <c r="D25" s="16" t="b">
        <f t="shared" si="0"/>
        <v>0</v>
      </c>
      <c r="E25" s="42" t="b">
        <f t="shared" si="1"/>
        <v>1</v>
      </c>
      <c r="K25" s="1" t="s">
        <v>43</v>
      </c>
      <c r="L25" s="1">
        <v>37</v>
      </c>
      <c r="M25" s="223" t="str">
        <f t="shared" si="2"/>
        <v/>
      </c>
      <c r="N25" s="223">
        <f t="shared" si="3"/>
        <v>37</v>
      </c>
    </row>
    <row r="26" spans="2:14" x14ac:dyDescent="0.25">
      <c r="B26" s="1" t="s">
        <v>33</v>
      </c>
      <c r="C26" s="1">
        <v>36</v>
      </c>
      <c r="D26" s="16" t="b">
        <f t="shared" si="0"/>
        <v>1</v>
      </c>
      <c r="E26" s="42" t="b">
        <f t="shared" si="1"/>
        <v>0</v>
      </c>
      <c r="K26" s="1" t="s">
        <v>33</v>
      </c>
      <c r="L26" s="1">
        <v>36</v>
      </c>
      <c r="M26" s="223">
        <f t="shared" si="2"/>
        <v>36</v>
      </c>
      <c r="N26" s="223" t="str">
        <f t="shared" si="3"/>
        <v/>
      </c>
    </row>
    <row r="27" spans="2:14" x14ac:dyDescent="0.25">
      <c r="B27" s="1" t="s">
        <v>37</v>
      </c>
      <c r="C27" s="1">
        <v>31</v>
      </c>
      <c r="D27" s="16" t="b">
        <f t="shared" si="0"/>
        <v>0</v>
      </c>
      <c r="E27" s="42" t="b">
        <f t="shared" si="1"/>
        <v>1</v>
      </c>
      <c r="K27" s="1" t="s">
        <v>37</v>
      </c>
      <c r="L27" s="1">
        <v>31</v>
      </c>
      <c r="M27" s="223" t="str">
        <f t="shared" si="2"/>
        <v/>
      </c>
      <c r="N27" s="223">
        <f t="shared" si="3"/>
        <v>31</v>
      </c>
    </row>
    <row r="28" spans="2:14" x14ac:dyDescent="0.25">
      <c r="B28" s="1" t="s">
        <v>44</v>
      </c>
      <c r="C28" s="1">
        <v>64</v>
      </c>
      <c r="D28" s="16" t="b">
        <f t="shared" si="0"/>
        <v>1</v>
      </c>
      <c r="E28" s="42" t="b">
        <f t="shared" si="1"/>
        <v>0</v>
      </c>
      <c r="K28" s="1" t="s">
        <v>44</v>
      </c>
      <c r="L28" s="1">
        <v>64</v>
      </c>
      <c r="M28" s="223">
        <f t="shared" si="2"/>
        <v>64</v>
      </c>
      <c r="N28" s="223" t="str">
        <f t="shared" si="3"/>
        <v/>
      </c>
    </row>
    <row r="29" spans="2:14" x14ac:dyDescent="0.25">
      <c r="B29" s="1" t="s">
        <v>138</v>
      </c>
      <c r="C29" s="1">
        <v>50</v>
      </c>
      <c r="D29" s="16" t="b">
        <f t="shared" si="0"/>
        <v>1</v>
      </c>
      <c r="E29" s="42" t="b">
        <f t="shared" si="1"/>
        <v>0</v>
      </c>
      <c r="K29" s="1" t="s">
        <v>138</v>
      </c>
      <c r="L29" s="1">
        <v>50</v>
      </c>
      <c r="M29" s="223">
        <f t="shared" si="2"/>
        <v>50</v>
      </c>
      <c r="N29" s="223" t="str">
        <f t="shared" si="3"/>
        <v/>
      </c>
    </row>
    <row r="30" spans="2:14" x14ac:dyDescent="0.25">
      <c r="B30" s="1" t="s">
        <v>28</v>
      </c>
      <c r="C30" s="1">
        <v>47</v>
      </c>
      <c r="D30" s="16" t="b">
        <f t="shared" si="0"/>
        <v>0</v>
      </c>
      <c r="E30" s="42" t="b">
        <f t="shared" si="1"/>
        <v>1</v>
      </c>
      <c r="K30" s="1" t="s">
        <v>28</v>
      </c>
      <c r="L30" s="1">
        <v>47</v>
      </c>
      <c r="M30" s="223" t="str">
        <f t="shared" si="2"/>
        <v/>
      </c>
      <c r="N30" s="223">
        <f t="shared" si="3"/>
        <v>47</v>
      </c>
    </row>
    <row r="31" spans="2:14" x14ac:dyDescent="0.25">
      <c r="B31" s="1" t="s">
        <v>31</v>
      </c>
      <c r="C31" s="1">
        <v>28</v>
      </c>
      <c r="D31" s="16" t="b">
        <f t="shared" si="0"/>
        <v>1</v>
      </c>
      <c r="E31" s="42" t="b">
        <f t="shared" si="1"/>
        <v>0</v>
      </c>
      <c r="K31" s="1" t="s">
        <v>31</v>
      </c>
      <c r="L31" s="1">
        <v>28</v>
      </c>
      <c r="M31" s="223">
        <f t="shared" si="2"/>
        <v>28</v>
      </c>
      <c r="N31" s="223" t="str">
        <f t="shared" si="3"/>
        <v/>
      </c>
    </row>
    <row r="32" spans="2:14" x14ac:dyDescent="0.25">
      <c r="B32" s="1" t="s">
        <v>46</v>
      </c>
      <c r="C32" s="1">
        <v>20</v>
      </c>
      <c r="D32" s="16" t="b">
        <f t="shared" si="0"/>
        <v>1</v>
      </c>
      <c r="E32" s="42" t="b">
        <f t="shared" si="1"/>
        <v>0</v>
      </c>
      <c r="K32" s="1" t="s">
        <v>46</v>
      </c>
      <c r="L32" s="1">
        <v>20</v>
      </c>
      <c r="M32" s="223">
        <f t="shared" si="2"/>
        <v>20</v>
      </c>
      <c r="N32" s="223" t="str">
        <f t="shared" si="3"/>
        <v/>
      </c>
    </row>
    <row r="33" spans="2:14" x14ac:dyDescent="0.25">
      <c r="B33" s="1" t="s">
        <v>35</v>
      </c>
      <c r="C33" s="1">
        <v>21</v>
      </c>
      <c r="D33" s="16" t="b">
        <f t="shared" si="0"/>
        <v>0</v>
      </c>
      <c r="E33" s="42" t="b">
        <f t="shared" si="1"/>
        <v>1</v>
      </c>
      <c r="K33" s="1" t="s">
        <v>35</v>
      </c>
      <c r="L33" s="1">
        <v>21</v>
      </c>
      <c r="M33" s="223" t="str">
        <f t="shared" si="2"/>
        <v/>
      </c>
      <c r="N33" s="223">
        <f t="shared" si="3"/>
        <v>21</v>
      </c>
    </row>
    <row r="34" spans="2:14" x14ac:dyDescent="0.25">
      <c r="B34" s="1" t="s">
        <v>29</v>
      </c>
      <c r="C34" s="1">
        <v>35</v>
      </c>
      <c r="D34" s="16" t="b">
        <f t="shared" si="0"/>
        <v>0</v>
      </c>
      <c r="E34" s="42" t="b">
        <f t="shared" si="1"/>
        <v>1</v>
      </c>
      <c r="K34" s="1" t="s">
        <v>29</v>
      </c>
      <c r="L34" s="1">
        <v>35</v>
      </c>
      <c r="M34" s="223" t="str">
        <f t="shared" si="2"/>
        <v/>
      </c>
      <c r="N34" s="223">
        <f t="shared" si="3"/>
        <v>35</v>
      </c>
    </row>
    <row r="35" spans="2:14" x14ac:dyDescent="0.25">
      <c r="B35" s="1" t="s">
        <v>33</v>
      </c>
      <c r="C35" s="1">
        <v>65</v>
      </c>
      <c r="D35" s="16" t="b">
        <f t="shared" si="0"/>
        <v>0</v>
      </c>
      <c r="E35" s="42" t="b">
        <f t="shared" si="1"/>
        <v>1</v>
      </c>
      <c r="K35" s="1" t="s">
        <v>33</v>
      </c>
      <c r="L35" s="1">
        <v>65</v>
      </c>
      <c r="M35" s="223" t="str">
        <f t="shared" si="2"/>
        <v/>
      </c>
      <c r="N35" s="223">
        <f t="shared" si="3"/>
        <v>65</v>
      </c>
    </row>
    <row r="36" spans="2:14" x14ac:dyDescent="0.25">
      <c r="B36" s="1" t="s">
        <v>37</v>
      </c>
      <c r="C36" s="1">
        <v>38</v>
      </c>
      <c r="D36" s="16" t="b">
        <f t="shared" si="0"/>
        <v>1</v>
      </c>
      <c r="E36" s="42" t="b">
        <f t="shared" si="1"/>
        <v>0</v>
      </c>
      <c r="K36" s="1" t="s">
        <v>37</v>
      </c>
      <c r="L36" s="1">
        <v>38</v>
      </c>
      <c r="M36" s="223">
        <f t="shared" si="2"/>
        <v>38</v>
      </c>
      <c r="N36" s="223" t="str">
        <f t="shared" si="3"/>
        <v/>
      </c>
    </row>
  </sheetData>
  <phoneticPr fontId="2"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88117-5211-49A2-A665-8F9FB63C4A4B}">
  <sheetPr codeName="Sheet11"/>
  <dimension ref="B7:E37"/>
  <sheetViews>
    <sheetView workbookViewId="0">
      <selection activeCell="B7" sqref="B7:E7"/>
    </sheetView>
  </sheetViews>
  <sheetFormatPr defaultRowHeight="15" x14ac:dyDescent="0.25"/>
  <cols>
    <col min="2" max="2" width="16.7109375" customWidth="1"/>
    <col min="3" max="3" width="26.7109375" customWidth="1"/>
    <col min="4" max="4" width="19.42578125" customWidth="1"/>
    <col min="5" max="5" width="28.140625" customWidth="1"/>
  </cols>
  <sheetData>
    <row r="7" spans="2:5" x14ac:dyDescent="0.25">
      <c r="B7" s="43" t="s">
        <v>17</v>
      </c>
      <c r="C7" s="43" t="s">
        <v>159</v>
      </c>
      <c r="D7" s="43" t="s">
        <v>157</v>
      </c>
      <c r="E7" s="43" t="s">
        <v>158</v>
      </c>
    </row>
    <row r="8" spans="2:5" x14ac:dyDescent="0.25">
      <c r="B8" s="1" t="s">
        <v>28</v>
      </c>
      <c r="C8" s="1" t="str">
        <f>IF(LEFT(B8)="S",B8,"")</f>
        <v>SANJANA</v>
      </c>
      <c r="D8" s="1" t="str">
        <f>IF(ISERROR(SEARCH("I",B8))=FALSE,B8,"")</f>
        <v/>
      </c>
      <c r="E8" s="1" t="str">
        <f>IF(ISERROR(FIND("A",B8))=FALSE,B8,"")</f>
        <v>SANJANA</v>
      </c>
    </row>
    <row r="9" spans="2:5" x14ac:dyDescent="0.25">
      <c r="B9" s="1" t="s">
        <v>29</v>
      </c>
      <c r="C9" s="1" t="str">
        <f t="shared" ref="C9:C37" si="0">IF(LEFT(B9)="S",B9,"")</f>
        <v/>
      </c>
      <c r="D9" s="1" t="str">
        <f t="shared" ref="D9:D37" si="1">IF(ISERROR(SEARCH("I",B9))=FALSE,B9,"")</f>
        <v/>
      </c>
      <c r="E9" s="1" t="b">
        <f>ISERROR(FIND("A",B9))</f>
        <v>0</v>
      </c>
    </row>
    <row r="10" spans="2:5" x14ac:dyDescent="0.25">
      <c r="B10" s="1" t="s">
        <v>32</v>
      </c>
      <c r="C10" s="1" t="str">
        <f t="shared" si="0"/>
        <v/>
      </c>
      <c r="D10" s="1" t="str">
        <f t="shared" si="1"/>
        <v/>
      </c>
      <c r="E10" s="1" t="b">
        <f t="shared" ref="E10:E37" si="2">ISERROR(FIND("A",B10))</f>
        <v>0</v>
      </c>
    </row>
    <row r="11" spans="2:5" x14ac:dyDescent="0.25">
      <c r="B11" s="1" t="s">
        <v>42</v>
      </c>
      <c r="C11" s="1" t="str">
        <f t="shared" si="0"/>
        <v/>
      </c>
      <c r="D11" s="1" t="str">
        <f t="shared" si="1"/>
        <v/>
      </c>
      <c r="E11" s="1" t="b">
        <f t="shared" si="2"/>
        <v>0</v>
      </c>
    </row>
    <row r="12" spans="2:5" x14ac:dyDescent="0.25">
      <c r="B12" s="1" t="s">
        <v>31</v>
      </c>
      <c r="C12" s="1" t="str">
        <f t="shared" si="0"/>
        <v/>
      </c>
      <c r="D12" s="1" t="str">
        <f t="shared" si="1"/>
        <v/>
      </c>
      <c r="E12" s="1" t="b">
        <f t="shared" si="2"/>
        <v>0</v>
      </c>
    </row>
    <row r="13" spans="2:5" x14ac:dyDescent="0.25">
      <c r="B13" s="1" t="s">
        <v>29</v>
      </c>
      <c r="C13" s="1" t="str">
        <f t="shared" si="0"/>
        <v/>
      </c>
      <c r="D13" s="1" t="str">
        <f t="shared" si="1"/>
        <v/>
      </c>
      <c r="E13" s="1" t="b">
        <f t="shared" si="2"/>
        <v>0</v>
      </c>
    </row>
    <row r="14" spans="2:5" x14ac:dyDescent="0.25">
      <c r="B14" s="1" t="s">
        <v>43</v>
      </c>
      <c r="C14" s="1" t="str">
        <f t="shared" si="0"/>
        <v/>
      </c>
      <c r="D14" s="1" t="str">
        <f t="shared" si="1"/>
        <v/>
      </c>
      <c r="E14" s="1" t="b">
        <f t="shared" si="2"/>
        <v>0</v>
      </c>
    </row>
    <row r="15" spans="2:5" x14ac:dyDescent="0.25">
      <c r="B15" s="1" t="s">
        <v>30</v>
      </c>
      <c r="C15" s="1" t="str">
        <f t="shared" si="0"/>
        <v>SHANMUGHAM</v>
      </c>
      <c r="D15" s="1" t="str">
        <f t="shared" si="1"/>
        <v/>
      </c>
      <c r="E15" s="1" t="b">
        <f t="shared" si="2"/>
        <v>0</v>
      </c>
    </row>
    <row r="16" spans="2:5" x14ac:dyDescent="0.25">
      <c r="B16" s="1" t="s">
        <v>28</v>
      </c>
      <c r="C16" s="1" t="str">
        <f t="shared" si="0"/>
        <v>SANJANA</v>
      </c>
      <c r="D16" s="1" t="str">
        <f t="shared" si="1"/>
        <v/>
      </c>
      <c r="E16" s="1" t="b">
        <f t="shared" si="2"/>
        <v>0</v>
      </c>
    </row>
    <row r="17" spans="2:5" x14ac:dyDescent="0.25">
      <c r="B17" s="1" t="s">
        <v>29</v>
      </c>
      <c r="C17" s="1" t="str">
        <f t="shared" si="0"/>
        <v/>
      </c>
      <c r="D17" s="1" t="str">
        <f t="shared" si="1"/>
        <v/>
      </c>
      <c r="E17" s="1" t="b">
        <f t="shared" si="2"/>
        <v>0</v>
      </c>
    </row>
    <row r="18" spans="2:5" x14ac:dyDescent="0.25">
      <c r="B18" s="1" t="s">
        <v>32</v>
      </c>
      <c r="C18" s="1" t="str">
        <f t="shared" si="0"/>
        <v/>
      </c>
      <c r="D18" s="1" t="str">
        <f t="shared" si="1"/>
        <v/>
      </c>
      <c r="E18" s="1" t="b">
        <f t="shared" si="2"/>
        <v>0</v>
      </c>
    </row>
    <row r="19" spans="2:5" x14ac:dyDescent="0.25">
      <c r="B19" s="1" t="s">
        <v>41</v>
      </c>
      <c r="C19" s="1" t="str">
        <f t="shared" si="0"/>
        <v/>
      </c>
      <c r="D19" s="1" t="str">
        <f t="shared" si="1"/>
        <v>RASHMI</v>
      </c>
      <c r="E19" s="1" t="b">
        <f t="shared" si="2"/>
        <v>0</v>
      </c>
    </row>
    <row r="20" spans="2:5" x14ac:dyDescent="0.25">
      <c r="B20" s="1" t="s">
        <v>42</v>
      </c>
      <c r="C20" s="1" t="str">
        <f t="shared" si="0"/>
        <v/>
      </c>
      <c r="D20" s="1" t="str">
        <f t="shared" si="1"/>
        <v/>
      </c>
      <c r="E20" s="1" t="b">
        <f t="shared" si="2"/>
        <v>0</v>
      </c>
    </row>
    <row r="21" spans="2:5" x14ac:dyDescent="0.25">
      <c r="B21" s="1" t="s">
        <v>36</v>
      </c>
      <c r="C21" s="1" t="str">
        <f t="shared" si="0"/>
        <v>SID</v>
      </c>
      <c r="D21" s="1" t="str">
        <f t="shared" si="1"/>
        <v>SID</v>
      </c>
      <c r="E21" s="1" t="b">
        <f t="shared" si="2"/>
        <v>1</v>
      </c>
    </row>
    <row r="22" spans="2:5" x14ac:dyDescent="0.25">
      <c r="B22" s="1" t="s">
        <v>31</v>
      </c>
      <c r="C22" s="1" t="str">
        <f t="shared" si="0"/>
        <v/>
      </c>
      <c r="D22" s="1" t="str">
        <f t="shared" si="1"/>
        <v/>
      </c>
      <c r="E22" s="1" t="b">
        <f t="shared" si="2"/>
        <v>0</v>
      </c>
    </row>
    <row r="23" spans="2:5" x14ac:dyDescent="0.25">
      <c r="B23" s="1" t="s">
        <v>30</v>
      </c>
      <c r="C23" s="1" t="str">
        <f t="shared" si="0"/>
        <v>SHANMUGHAM</v>
      </c>
      <c r="D23" s="1" t="str">
        <f t="shared" si="1"/>
        <v/>
      </c>
      <c r="E23" s="1" t="b">
        <f t="shared" si="2"/>
        <v>0</v>
      </c>
    </row>
    <row r="24" spans="2:5" x14ac:dyDescent="0.25">
      <c r="B24" s="1" t="s">
        <v>40</v>
      </c>
      <c r="C24" s="1" t="str">
        <f t="shared" si="0"/>
        <v/>
      </c>
      <c r="D24" s="1" t="str">
        <f t="shared" si="1"/>
        <v/>
      </c>
      <c r="E24" s="1" t="b">
        <f t="shared" si="2"/>
        <v>0</v>
      </c>
    </row>
    <row r="25" spans="2:5" x14ac:dyDescent="0.25">
      <c r="B25" s="1" t="s">
        <v>43</v>
      </c>
      <c r="C25" s="1" t="str">
        <f t="shared" si="0"/>
        <v/>
      </c>
      <c r="D25" s="1" t="str">
        <f t="shared" si="1"/>
        <v/>
      </c>
      <c r="E25" s="1" t="b">
        <f t="shared" si="2"/>
        <v>0</v>
      </c>
    </row>
    <row r="26" spans="2:5" x14ac:dyDescent="0.25">
      <c r="B26" s="1" t="s">
        <v>33</v>
      </c>
      <c r="C26" s="1" t="str">
        <f t="shared" si="0"/>
        <v/>
      </c>
      <c r="D26" s="1" t="str">
        <f t="shared" si="1"/>
        <v/>
      </c>
      <c r="E26" s="1" t="b">
        <f t="shared" si="2"/>
        <v>0</v>
      </c>
    </row>
    <row r="27" spans="2:5" x14ac:dyDescent="0.25">
      <c r="B27" s="1" t="s">
        <v>37</v>
      </c>
      <c r="C27" s="1" t="str">
        <f t="shared" si="0"/>
        <v/>
      </c>
      <c r="D27" s="1" t="str">
        <f t="shared" si="1"/>
        <v/>
      </c>
      <c r="E27" s="1" t="b">
        <f t="shared" si="2"/>
        <v>0</v>
      </c>
    </row>
    <row r="28" spans="2:5" x14ac:dyDescent="0.25">
      <c r="B28" s="1" t="s">
        <v>44</v>
      </c>
      <c r="C28" s="1" t="str">
        <f t="shared" si="0"/>
        <v/>
      </c>
      <c r="D28" s="1" t="str">
        <f t="shared" si="1"/>
        <v/>
      </c>
      <c r="E28" s="1" t="b">
        <f t="shared" si="2"/>
        <v>0</v>
      </c>
    </row>
    <row r="29" spans="2:5" x14ac:dyDescent="0.25">
      <c r="B29" s="1" t="s">
        <v>138</v>
      </c>
      <c r="C29" s="1" t="str">
        <f t="shared" si="0"/>
        <v/>
      </c>
      <c r="D29" s="1" t="str">
        <f t="shared" si="1"/>
        <v/>
      </c>
      <c r="E29" s="1" t="b">
        <f t="shared" si="2"/>
        <v>0</v>
      </c>
    </row>
    <row r="30" spans="2:5" x14ac:dyDescent="0.25">
      <c r="B30" s="1" t="s">
        <v>28</v>
      </c>
      <c r="C30" s="1" t="str">
        <f t="shared" si="0"/>
        <v>SANJANA</v>
      </c>
      <c r="D30" s="1" t="str">
        <f t="shared" si="1"/>
        <v/>
      </c>
      <c r="E30" s="1" t="b">
        <f t="shared" si="2"/>
        <v>0</v>
      </c>
    </row>
    <row r="31" spans="2:5" x14ac:dyDescent="0.25">
      <c r="B31" s="1" t="s">
        <v>31</v>
      </c>
      <c r="C31" s="1" t="str">
        <f t="shared" si="0"/>
        <v/>
      </c>
      <c r="D31" s="1" t="str">
        <f t="shared" si="1"/>
        <v/>
      </c>
      <c r="E31" s="1" t="b">
        <f t="shared" si="2"/>
        <v>0</v>
      </c>
    </row>
    <row r="32" spans="2:5" x14ac:dyDescent="0.25">
      <c r="B32" s="1" t="s">
        <v>46</v>
      </c>
      <c r="C32" s="1" t="str">
        <f t="shared" si="0"/>
        <v>SHANUMGHAM</v>
      </c>
      <c r="D32" s="1" t="str">
        <f t="shared" si="1"/>
        <v/>
      </c>
      <c r="E32" s="1" t="b">
        <f t="shared" si="2"/>
        <v>0</v>
      </c>
    </row>
    <row r="33" spans="2:5" x14ac:dyDescent="0.25">
      <c r="B33" s="1" t="s">
        <v>35</v>
      </c>
      <c r="C33" s="1" t="str">
        <f t="shared" si="0"/>
        <v/>
      </c>
      <c r="D33" s="1" t="str">
        <f t="shared" si="1"/>
        <v/>
      </c>
      <c r="E33" s="1" t="b">
        <f t="shared" si="2"/>
        <v>0</v>
      </c>
    </row>
    <row r="34" spans="2:5" x14ac:dyDescent="0.25">
      <c r="B34" s="1" t="s">
        <v>29</v>
      </c>
      <c r="C34" s="1" t="str">
        <f t="shared" si="0"/>
        <v/>
      </c>
      <c r="D34" s="1" t="str">
        <f t="shared" si="1"/>
        <v/>
      </c>
      <c r="E34" s="1" t="b">
        <f t="shared" si="2"/>
        <v>0</v>
      </c>
    </row>
    <row r="35" spans="2:5" x14ac:dyDescent="0.25">
      <c r="B35" s="1" t="s">
        <v>33</v>
      </c>
      <c r="C35" s="1" t="str">
        <f t="shared" si="0"/>
        <v/>
      </c>
      <c r="D35" s="1" t="str">
        <f t="shared" si="1"/>
        <v/>
      </c>
      <c r="E35" s="1" t="b">
        <f t="shared" si="2"/>
        <v>0</v>
      </c>
    </row>
    <row r="36" spans="2:5" x14ac:dyDescent="0.25">
      <c r="B36" s="1" t="s">
        <v>37</v>
      </c>
      <c r="C36" s="1" t="str">
        <f t="shared" si="0"/>
        <v/>
      </c>
      <c r="D36" s="1" t="str">
        <f t="shared" si="1"/>
        <v/>
      </c>
      <c r="E36" s="1" t="b">
        <f t="shared" si="2"/>
        <v>0</v>
      </c>
    </row>
    <row r="37" spans="2:5" x14ac:dyDescent="0.25">
      <c r="B37" s="1" t="s">
        <v>40</v>
      </c>
      <c r="C37" s="1" t="str">
        <f t="shared" si="0"/>
        <v/>
      </c>
      <c r="D37" s="1" t="str">
        <f t="shared" si="1"/>
        <v/>
      </c>
      <c r="E37" s="1" t="b">
        <f t="shared" si="2"/>
        <v>0</v>
      </c>
    </row>
  </sheetData>
  <phoneticPr fontId="2" type="noConversion"/>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08C94-AF05-4BCB-B0FB-24566CA759A4}">
  <sheetPr codeName="Sheet12"/>
  <dimension ref="A1:U41"/>
  <sheetViews>
    <sheetView workbookViewId="0">
      <selection activeCell="W31" sqref="W31"/>
    </sheetView>
  </sheetViews>
  <sheetFormatPr defaultRowHeight="15" x14ac:dyDescent="0.25"/>
  <cols>
    <col min="1" max="1" width="22.42578125" customWidth="1"/>
    <col min="7" max="7" width="18.85546875" customWidth="1"/>
    <col min="8" max="8" width="14.85546875" customWidth="1"/>
  </cols>
  <sheetData>
    <row r="1" spans="1:21" x14ac:dyDescent="0.25">
      <c r="S1" t="b">
        <v>1</v>
      </c>
      <c r="T1" t="b">
        <v>1</v>
      </c>
      <c r="U1" t="b">
        <v>1</v>
      </c>
    </row>
    <row r="6" spans="1:21" x14ac:dyDescent="0.25">
      <c r="A6" s="44" t="s">
        <v>39</v>
      </c>
      <c r="B6" s="45" t="s">
        <v>160</v>
      </c>
      <c r="C6" s="44" t="s">
        <v>161</v>
      </c>
      <c r="D6" s="44" t="s">
        <v>162</v>
      </c>
      <c r="G6" s="44" t="s">
        <v>39</v>
      </c>
      <c r="H6" s="45" t="s">
        <v>160</v>
      </c>
      <c r="I6" s="44" t="s">
        <v>161</v>
      </c>
      <c r="J6" s="44" t="s">
        <v>162</v>
      </c>
    </row>
    <row r="7" spans="1:21" x14ac:dyDescent="0.25">
      <c r="A7" s="1" t="s">
        <v>28</v>
      </c>
      <c r="B7" s="1">
        <v>56</v>
      </c>
      <c r="C7" s="1">
        <v>50</v>
      </c>
      <c r="D7" s="1">
        <v>187</v>
      </c>
      <c r="G7" s="1" t="s">
        <v>28</v>
      </c>
      <c r="H7" s="1">
        <f>IF(S$1=TRUE,B7)</f>
        <v>56</v>
      </c>
      <c r="I7" s="238">
        <f t="shared" ref="I7:J7" si="0">IF(T$1=TRUE,C7)</f>
        <v>50</v>
      </c>
      <c r="J7" s="238">
        <f t="shared" si="0"/>
        <v>187</v>
      </c>
    </row>
    <row r="8" spans="1:21" x14ac:dyDescent="0.25">
      <c r="A8" s="1" t="s">
        <v>29</v>
      </c>
      <c r="B8" s="1">
        <v>158</v>
      </c>
      <c r="C8" s="1">
        <v>183</v>
      </c>
      <c r="D8" s="1">
        <v>74</v>
      </c>
      <c r="G8" s="1" t="s">
        <v>29</v>
      </c>
      <c r="H8" s="238">
        <f t="shared" ref="H8:H35" si="1">IF(S$1=TRUE,B8)</f>
        <v>158</v>
      </c>
      <c r="I8" s="238">
        <f t="shared" ref="I8:I35" si="2">IF(T$1=TRUE,C8)</f>
        <v>183</v>
      </c>
      <c r="J8" s="238">
        <f t="shared" ref="J8:J35" si="3">IF(U$1=TRUE,D8)</f>
        <v>74</v>
      </c>
    </row>
    <row r="9" spans="1:21" x14ac:dyDescent="0.25">
      <c r="A9" s="1" t="s">
        <v>32</v>
      </c>
      <c r="B9" s="1">
        <v>106</v>
      </c>
      <c r="C9" s="1">
        <v>166</v>
      </c>
      <c r="D9" s="1">
        <v>189</v>
      </c>
      <c r="G9" s="1" t="s">
        <v>32</v>
      </c>
      <c r="H9" s="238">
        <f t="shared" si="1"/>
        <v>106</v>
      </c>
      <c r="I9" s="238">
        <f t="shared" si="2"/>
        <v>166</v>
      </c>
      <c r="J9" s="238">
        <f t="shared" si="3"/>
        <v>189</v>
      </c>
    </row>
    <row r="10" spans="1:21" x14ac:dyDescent="0.25">
      <c r="A10" s="1" t="s">
        <v>42</v>
      </c>
      <c r="B10" s="1">
        <v>136</v>
      </c>
      <c r="C10" s="1">
        <v>119</v>
      </c>
      <c r="D10" s="1">
        <v>116</v>
      </c>
      <c r="G10" s="1" t="s">
        <v>42</v>
      </c>
      <c r="H10" s="238">
        <f t="shared" si="1"/>
        <v>136</v>
      </c>
      <c r="I10" s="238">
        <f t="shared" si="2"/>
        <v>119</v>
      </c>
      <c r="J10" s="238">
        <f t="shared" si="3"/>
        <v>116</v>
      </c>
    </row>
    <row r="11" spans="1:21" x14ac:dyDescent="0.25">
      <c r="A11" s="1" t="s">
        <v>31</v>
      </c>
      <c r="B11" s="1">
        <v>180</v>
      </c>
      <c r="C11" s="1">
        <v>82</v>
      </c>
      <c r="D11" s="1">
        <v>135</v>
      </c>
      <c r="G11" s="1" t="s">
        <v>31</v>
      </c>
      <c r="H11" s="238">
        <f t="shared" si="1"/>
        <v>180</v>
      </c>
      <c r="I11" s="238">
        <f t="shared" si="2"/>
        <v>82</v>
      </c>
      <c r="J11" s="238">
        <f t="shared" si="3"/>
        <v>135</v>
      </c>
    </row>
    <row r="12" spans="1:21" x14ac:dyDescent="0.25">
      <c r="A12" s="1" t="s">
        <v>29</v>
      </c>
      <c r="B12" s="1">
        <v>59</v>
      </c>
      <c r="C12" s="1">
        <v>151</v>
      </c>
      <c r="D12" s="1">
        <v>199</v>
      </c>
      <c r="G12" s="1" t="s">
        <v>29</v>
      </c>
      <c r="H12" s="238">
        <f t="shared" si="1"/>
        <v>59</v>
      </c>
      <c r="I12" s="238">
        <f t="shared" si="2"/>
        <v>151</v>
      </c>
      <c r="J12" s="238">
        <f t="shared" si="3"/>
        <v>199</v>
      </c>
    </row>
    <row r="13" spans="1:21" x14ac:dyDescent="0.25">
      <c r="A13" s="1" t="s">
        <v>43</v>
      </c>
      <c r="B13" s="1">
        <v>186</v>
      </c>
      <c r="C13" s="1">
        <v>81</v>
      </c>
      <c r="D13" s="1">
        <v>187</v>
      </c>
      <c r="G13" s="1" t="s">
        <v>43</v>
      </c>
      <c r="H13" s="238">
        <f t="shared" si="1"/>
        <v>186</v>
      </c>
      <c r="I13" s="238">
        <f t="shared" si="2"/>
        <v>81</v>
      </c>
      <c r="J13" s="238">
        <f t="shared" si="3"/>
        <v>187</v>
      </c>
    </row>
    <row r="14" spans="1:21" x14ac:dyDescent="0.25">
      <c r="A14" s="1" t="s">
        <v>30</v>
      </c>
      <c r="B14" s="1">
        <v>200</v>
      </c>
      <c r="C14" s="1">
        <v>60</v>
      </c>
      <c r="D14" s="1">
        <v>125</v>
      </c>
      <c r="G14" s="1" t="s">
        <v>30</v>
      </c>
      <c r="H14" s="238">
        <f t="shared" si="1"/>
        <v>200</v>
      </c>
      <c r="I14" s="238">
        <f t="shared" si="2"/>
        <v>60</v>
      </c>
      <c r="J14" s="238">
        <f t="shared" si="3"/>
        <v>125</v>
      </c>
    </row>
    <row r="15" spans="1:21" x14ac:dyDescent="0.25">
      <c r="A15" s="1" t="s">
        <v>28</v>
      </c>
      <c r="B15" s="1">
        <v>160</v>
      </c>
      <c r="C15" s="1">
        <v>163</v>
      </c>
      <c r="D15" s="1">
        <v>176</v>
      </c>
      <c r="G15" s="1" t="s">
        <v>28</v>
      </c>
      <c r="H15" s="238">
        <f t="shared" si="1"/>
        <v>160</v>
      </c>
      <c r="I15" s="238">
        <f t="shared" si="2"/>
        <v>163</v>
      </c>
      <c r="J15" s="238">
        <f t="shared" si="3"/>
        <v>176</v>
      </c>
    </row>
    <row r="16" spans="1:21" x14ac:dyDescent="0.25">
      <c r="A16" s="1" t="s">
        <v>29</v>
      </c>
      <c r="B16" s="1">
        <v>100</v>
      </c>
      <c r="C16" s="1">
        <v>53</v>
      </c>
      <c r="D16" s="1">
        <v>76</v>
      </c>
      <c r="G16" s="1" t="s">
        <v>29</v>
      </c>
      <c r="H16" s="238">
        <f t="shared" si="1"/>
        <v>100</v>
      </c>
      <c r="I16" s="238">
        <f t="shared" si="2"/>
        <v>53</v>
      </c>
      <c r="J16" s="238">
        <f t="shared" si="3"/>
        <v>76</v>
      </c>
    </row>
    <row r="17" spans="1:10" x14ac:dyDescent="0.25">
      <c r="A17" s="1" t="s">
        <v>32</v>
      </c>
      <c r="B17" s="1">
        <v>55</v>
      </c>
      <c r="C17" s="1">
        <v>114</v>
      </c>
      <c r="D17" s="1">
        <v>198</v>
      </c>
      <c r="G17" s="1" t="s">
        <v>32</v>
      </c>
      <c r="H17" s="238">
        <f t="shared" si="1"/>
        <v>55</v>
      </c>
      <c r="I17" s="238">
        <f t="shared" si="2"/>
        <v>114</v>
      </c>
      <c r="J17" s="238">
        <f t="shared" si="3"/>
        <v>198</v>
      </c>
    </row>
    <row r="18" spans="1:10" x14ac:dyDescent="0.25">
      <c r="A18" s="1" t="s">
        <v>41</v>
      </c>
      <c r="B18" s="1">
        <v>129</v>
      </c>
      <c r="C18" s="1">
        <v>142</v>
      </c>
      <c r="D18" s="1">
        <v>81</v>
      </c>
      <c r="G18" s="1" t="s">
        <v>41</v>
      </c>
      <c r="H18" s="238">
        <f t="shared" si="1"/>
        <v>129</v>
      </c>
      <c r="I18" s="238">
        <f t="shared" si="2"/>
        <v>142</v>
      </c>
      <c r="J18" s="238">
        <f t="shared" si="3"/>
        <v>81</v>
      </c>
    </row>
    <row r="19" spans="1:10" x14ac:dyDescent="0.25">
      <c r="A19" s="1" t="s">
        <v>42</v>
      </c>
      <c r="B19" s="1">
        <v>74</v>
      </c>
      <c r="C19" s="1">
        <v>111</v>
      </c>
      <c r="D19" s="1">
        <v>150</v>
      </c>
      <c r="G19" s="1" t="s">
        <v>42</v>
      </c>
      <c r="H19" s="238">
        <f t="shared" si="1"/>
        <v>74</v>
      </c>
      <c r="I19" s="238">
        <f t="shared" si="2"/>
        <v>111</v>
      </c>
      <c r="J19" s="238">
        <f t="shared" si="3"/>
        <v>150</v>
      </c>
    </row>
    <row r="20" spans="1:10" x14ac:dyDescent="0.25">
      <c r="A20" s="1" t="s">
        <v>36</v>
      </c>
      <c r="B20" s="1">
        <v>133</v>
      </c>
      <c r="C20" s="1">
        <v>184</v>
      </c>
      <c r="D20" s="1">
        <v>193</v>
      </c>
      <c r="G20" s="1" t="s">
        <v>36</v>
      </c>
      <c r="H20" s="238">
        <f t="shared" si="1"/>
        <v>133</v>
      </c>
      <c r="I20" s="238">
        <f t="shared" si="2"/>
        <v>184</v>
      </c>
      <c r="J20" s="238">
        <f t="shared" si="3"/>
        <v>193</v>
      </c>
    </row>
    <row r="21" spans="1:10" x14ac:dyDescent="0.25">
      <c r="A21" s="1" t="s">
        <v>31</v>
      </c>
      <c r="B21" s="1">
        <v>109</v>
      </c>
      <c r="C21" s="1">
        <v>102</v>
      </c>
      <c r="D21" s="1">
        <v>57</v>
      </c>
      <c r="G21" s="1" t="s">
        <v>31</v>
      </c>
      <c r="H21" s="238">
        <f t="shared" si="1"/>
        <v>109</v>
      </c>
      <c r="I21" s="238">
        <f t="shared" si="2"/>
        <v>102</v>
      </c>
      <c r="J21" s="238">
        <f t="shared" si="3"/>
        <v>57</v>
      </c>
    </row>
    <row r="22" spans="1:10" x14ac:dyDescent="0.25">
      <c r="A22" s="1" t="s">
        <v>30</v>
      </c>
      <c r="B22" s="1">
        <v>92</v>
      </c>
      <c r="C22" s="1">
        <v>108</v>
      </c>
      <c r="D22" s="1">
        <v>176</v>
      </c>
      <c r="G22" s="1" t="s">
        <v>30</v>
      </c>
      <c r="H22" s="238">
        <f t="shared" si="1"/>
        <v>92</v>
      </c>
      <c r="I22" s="238">
        <f t="shared" si="2"/>
        <v>108</v>
      </c>
      <c r="J22" s="238">
        <f t="shared" si="3"/>
        <v>176</v>
      </c>
    </row>
    <row r="23" spans="1:10" x14ac:dyDescent="0.25">
      <c r="A23" s="1" t="s">
        <v>40</v>
      </c>
      <c r="B23" s="1">
        <v>64</v>
      </c>
      <c r="C23" s="1">
        <v>140</v>
      </c>
      <c r="D23" s="1">
        <v>136</v>
      </c>
      <c r="G23" s="1" t="s">
        <v>40</v>
      </c>
      <c r="H23" s="238">
        <f t="shared" si="1"/>
        <v>64</v>
      </c>
      <c r="I23" s="238">
        <f t="shared" si="2"/>
        <v>140</v>
      </c>
      <c r="J23" s="238">
        <f t="shared" si="3"/>
        <v>136</v>
      </c>
    </row>
    <row r="24" spans="1:10" x14ac:dyDescent="0.25">
      <c r="A24" s="1" t="s">
        <v>43</v>
      </c>
      <c r="B24" s="1">
        <v>90</v>
      </c>
      <c r="C24" s="1">
        <v>187</v>
      </c>
      <c r="D24" s="1">
        <v>119</v>
      </c>
      <c r="G24" s="1" t="s">
        <v>43</v>
      </c>
      <c r="H24" s="238">
        <f t="shared" si="1"/>
        <v>90</v>
      </c>
      <c r="I24" s="238">
        <f t="shared" si="2"/>
        <v>187</v>
      </c>
      <c r="J24" s="238">
        <f t="shared" si="3"/>
        <v>119</v>
      </c>
    </row>
    <row r="25" spans="1:10" x14ac:dyDescent="0.25">
      <c r="A25" s="1" t="s">
        <v>33</v>
      </c>
      <c r="B25" s="1">
        <v>141</v>
      </c>
      <c r="C25" s="1">
        <v>55</v>
      </c>
      <c r="D25" s="1">
        <v>189</v>
      </c>
      <c r="G25" s="1" t="s">
        <v>33</v>
      </c>
      <c r="H25" s="238">
        <f t="shared" si="1"/>
        <v>141</v>
      </c>
      <c r="I25" s="238">
        <f t="shared" si="2"/>
        <v>55</v>
      </c>
      <c r="J25" s="238">
        <f t="shared" si="3"/>
        <v>189</v>
      </c>
    </row>
    <row r="26" spans="1:10" x14ac:dyDescent="0.25">
      <c r="A26" s="1" t="s">
        <v>37</v>
      </c>
      <c r="B26" s="1">
        <v>141</v>
      </c>
      <c r="C26" s="1">
        <v>190</v>
      </c>
      <c r="D26" s="1">
        <v>101</v>
      </c>
      <c r="G26" s="1" t="s">
        <v>37</v>
      </c>
      <c r="H26" s="238">
        <f t="shared" si="1"/>
        <v>141</v>
      </c>
      <c r="I26" s="238">
        <f t="shared" si="2"/>
        <v>190</v>
      </c>
      <c r="J26" s="238">
        <f t="shared" si="3"/>
        <v>101</v>
      </c>
    </row>
    <row r="27" spans="1:10" x14ac:dyDescent="0.25">
      <c r="A27" s="1" t="s">
        <v>44</v>
      </c>
      <c r="B27" s="1">
        <v>109</v>
      </c>
      <c r="C27" s="1">
        <v>106</v>
      </c>
      <c r="D27" s="1">
        <v>74</v>
      </c>
      <c r="G27" s="1" t="s">
        <v>44</v>
      </c>
      <c r="H27" s="238">
        <f t="shared" si="1"/>
        <v>109</v>
      </c>
      <c r="I27" s="238">
        <f t="shared" si="2"/>
        <v>106</v>
      </c>
      <c r="J27" s="238">
        <f t="shared" si="3"/>
        <v>74</v>
      </c>
    </row>
    <row r="28" spans="1:10" x14ac:dyDescent="0.25">
      <c r="A28" s="1" t="s">
        <v>138</v>
      </c>
      <c r="B28" s="1">
        <v>169</v>
      </c>
      <c r="C28" s="1">
        <v>145</v>
      </c>
      <c r="D28" s="1">
        <v>136</v>
      </c>
      <c r="G28" s="1" t="s">
        <v>138</v>
      </c>
      <c r="H28" s="238">
        <f t="shared" si="1"/>
        <v>169</v>
      </c>
      <c r="I28" s="238">
        <f t="shared" si="2"/>
        <v>145</v>
      </c>
      <c r="J28" s="238">
        <f t="shared" si="3"/>
        <v>136</v>
      </c>
    </row>
    <row r="29" spans="1:10" x14ac:dyDescent="0.25">
      <c r="A29" s="1" t="s">
        <v>28</v>
      </c>
      <c r="B29" s="1">
        <v>77</v>
      </c>
      <c r="C29" s="1">
        <v>199</v>
      </c>
      <c r="D29" s="1">
        <v>164</v>
      </c>
      <c r="G29" s="1" t="s">
        <v>28</v>
      </c>
      <c r="H29" s="238">
        <f t="shared" si="1"/>
        <v>77</v>
      </c>
      <c r="I29" s="238">
        <f t="shared" si="2"/>
        <v>199</v>
      </c>
      <c r="J29" s="238">
        <f t="shared" si="3"/>
        <v>164</v>
      </c>
    </row>
    <row r="30" spans="1:10" x14ac:dyDescent="0.25">
      <c r="A30" s="1" t="s">
        <v>31</v>
      </c>
      <c r="B30" s="1">
        <v>143</v>
      </c>
      <c r="C30" s="1">
        <v>65</v>
      </c>
      <c r="D30" s="1">
        <v>118</v>
      </c>
      <c r="G30" s="1" t="s">
        <v>31</v>
      </c>
      <c r="H30" s="238">
        <f t="shared" si="1"/>
        <v>143</v>
      </c>
      <c r="I30" s="238">
        <f t="shared" si="2"/>
        <v>65</v>
      </c>
      <c r="J30" s="238">
        <f t="shared" si="3"/>
        <v>118</v>
      </c>
    </row>
    <row r="31" spans="1:10" x14ac:dyDescent="0.25">
      <c r="A31" s="1" t="s">
        <v>46</v>
      </c>
      <c r="B31" s="1">
        <v>194</v>
      </c>
      <c r="C31" s="1">
        <v>155</v>
      </c>
      <c r="D31" s="1">
        <v>136</v>
      </c>
      <c r="G31" s="1" t="s">
        <v>46</v>
      </c>
      <c r="H31" s="238">
        <f t="shared" si="1"/>
        <v>194</v>
      </c>
      <c r="I31" s="238">
        <f t="shared" si="2"/>
        <v>155</v>
      </c>
      <c r="J31" s="238">
        <f t="shared" si="3"/>
        <v>136</v>
      </c>
    </row>
    <row r="32" spans="1:10" x14ac:dyDescent="0.25">
      <c r="A32" s="1" t="s">
        <v>35</v>
      </c>
      <c r="B32" s="1">
        <v>88</v>
      </c>
      <c r="C32" s="1">
        <v>126</v>
      </c>
      <c r="D32" s="1">
        <v>198</v>
      </c>
      <c r="G32" s="1" t="s">
        <v>35</v>
      </c>
      <c r="H32" s="238">
        <f t="shared" si="1"/>
        <v>88</v>
      </c>
      <c r="I32" s="238">
        <f t="shared" si="2"/>
        <v>126</v>
      </c>
      <c r="J32" s="238">
        <f t="shared" si="3"/>
        <v>198</v>
      </c>
    </row>
    <row r="33" spans="1:10" x14ac:dyDescent="0.25">
      <c r="A33" s="1" t="s">
        <v>29</v>
      </c>
      <c r="B33" s="1">
        <v>91</v>
      </c>
      <c r="C33" s="1">
        <v>115</v>
      </c>
      <c r="D33" s="1">
        <v>157</v>
      </c>
      <c r="G33" s="1" t="s">
        <v>29</v>
      </c>
      <c r="H33" s="238">
        <f t="shared" si="1"/>
        <v>91</v>
      </c>
      <c r="I33" s="238">
        <f t="shared" si="2"/>
        <v>115</v>
      </c>
      <c r="J33" s="238">
        <f t="shared" si="3"/>
        <v>157</v>
      </c>
    </row>
    <row r="34" spans="1:10" x14ac:dyDescent="0.25">
      <c r="A34" s="1" t="s">
        <v>33</v>
      </c>
      <c r="B34" s="1">
        <v>87</v>
      </c>
      <c r="C34" s="1">
        <v>74</v>
      </c>
      <c r="D34" s="1">
        <v>114</v>
      </c>
      <c r="G34" s="1" t="s">
        <v>33</v>
      </c>
      <c r="H34" s="238">
        <f t="shared" si="1"/>
        <v>87</v>
      </c>
      <c r="I34" s="238">
        <f t="shared" si="2"/>
        <v>74</v>
      </c>
      <c r="J34" s="238">
        <f t="shared" si="3"/>
        <v>114</v>
      </c>
    </row>
    <row r="35" spans="1:10" x14ac:dyDescent="0.25">
      <c r="A35" s="1" t="s">
        <v>37</v>
      </c>
      <c r="B35" s="1">
        <v>153</v>
      </c>
      <c r="C35" s="1">
        <v>193</v>
      </c>
      <c r="D35" s="1">
        <v>111</v>
      </c>
      <c r="G35" s="1" t="s">
        <v>37</v>
      </c>
      <c r="H35" s="238">
        <f t="shared" si="1"/>
        <v>153</v>
      </c>
      <c r="I35" s="238">
        <f t="shared" si="2"/>
        <v>193</v>
      </c>
      <c r="J35" s="238">
        <f t="shared" si="3"/>
        <v>111</v>
      </c>
    </row>
    <row r="36" spans="1:10" x14ac:dyDescent="0.25">
      <c r="H36" s="55"/>
      <c r="I36" s="55"/>
      <c r="J36" s="55"/>
    </row>
    <row r="37" spans="1:10" x14ac:dyDescent="0.25">
      <c r="H37" s="55"/>
      <c r="I37" s="55"/>
      <c r="J37" s="55"/>
    </row>
    <row r="38" spans="1:10" x14ac:dyDescent="0.25">
      <c r="H38" s="55"/>
      <c r="I38" s="55"/>
      <c r="J38" s="55"/>
    </row>
    <row r="39" spans="1:10" x14ac:dyDescent="0.25">
      <c r="H39" s="55"/>
      <c r="I39" s="55"/>
      <c r="J39" s="55"/>
    </row>
    <row r="40" spans="1:10" x14ac:dyDescent="0.25">
      <c r="H40" s="55"/>
      <c r="I40" s="55"/>
      <c r="J40" s="55"/>
    </row>
    <row r="41" spans="1:10" x14ac:dyDescent="0.25">
      <c r="H41" s="55"/>
      <c r="I41" s="55"/>
      <c r="J41" s="55"/>
    </row>
  </sheetData>
  <phoneticPr fontId="2" type="noConversion"/>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2304" r:id="rId4" name="Check Box 16">
              <controlPr defaultSize="0" autoFill="0" autoLine="0" autoPict="0">
                <anchor moveWithCells="1">
                  <from>
                    <xdr:col>21</xdr:col>
                    <xdr:colOff>38100</xdr:colOff>
                    <xdr:row>5</xdr:row>
                    <xdr:rowOff>0</xdr:rowOff>
                  </from>
                  <to>
                    <xdr:col>22</xdr:col>
                    <xdr:colOff>323850</xdr:colOff>
                    <xdr:row>6</xdr:row>
                    <xdr:rowOff>28575</xdr:rowOff>
                  </to>
                </anchor>
              </controlPr>
            </control>
          </mc:Choice>
        </mc:AlternateContent>
        <mc:AlternateContent xmlns:mc="http://schemas.openxmlformats.org/markup-compatibility/2006">
          <mc:Choice Requires="x14">
            <control shapeId="12305" r:id="rId5" name="Check Box 17">
              <controlPr defaultSize="0" autoFill="0" autoLine="0" autoPict="0">
                <anchor moveWithCells="1">
                  <from>
                    <xdr:col>21</xdr:col>
                    <xdr:colOff>85725</xdr:colOff>
                    <xdr:row>7</xdr:row>
                    <xdr:rowOff>47625</xdr:rowOff>
                  </from>
                  <to>
                    <xdr:col>22</xdr:col>
                    <xdr:colOff>342900</xdr:colOff>
                    <xdr:row>8</xdr:row>
                    <xdr:rowOff>76200</xdr:rowOff>
                  </to>
                </anchor>
              </controlPr>
            </control>
          </mc:Choice>
        </mc:AlternateContent>
        <mc:AlternateContent xmlns:mc="http://schemas.openxmlformats.org/markup-compatibility/2006">
          <mc:Choice Requires="x14">
            <control shapeId="12306" r:id="rId6" name="Check Box 18">
              <controlPr defaultSize="0" autoFill="0" autoLine="0" autoPict="0">
                <anchor moveWithCells="1">
                  <from>
                    <xdr:col>21</xdr:col>
                    <xdr:colOff>133350</xdr:colOff>
                    <xdr:row>9</xdr:row>
                    <xdr:rowOff>0</xdr:rowOff>
                  </from>
                  <to>
                    <xdr:col>23</xdr:col>
                    <xdr:colOff>190500</xdr:colOff>
                    <xdr:row>10</xdr:row>
                    <xdr:rowOff>28575</xdr:rowOff>
                  </to>
                </anchor>
              </controlPr>
            </control>
          </mc:Choice>
        </mc:AlternateContent>
      </controls>
    </mc:Choice>
  </mc:AlternateConten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DC418-8AD6-40E3-9B84-C212EFC75F2A}">
  <sheetPr codeName="Sheet13"/>
  <dimension ref="B8:N37"/>
  <sheetViews>
    <sheetView tabSelected="1" workbookViewId="0">
      <selection activeCell="O16" sqref="O16"/>
    </sheetView>
  </sheetViews>
  <sheetFormatPr defaultRowHeight="15" x14ac:dyDescent="0.25"/>
  <cols>
    <col min="2" max="2" width="15.7109375" customWidth="1"/>
  </cols>
  <sheetData>
    <row r="8" spans="2:14" x14ac:dyDescent="0.25">
      <c r="B8" s="46" t="s">
        <v>17</v>
      </c>
      <c r="C8" s="46" t="s">
        <v>160</v>
      </c>
      <c r="D8" s="46" t="s">
        <v>161</v>
      </c>
      <c r="E8" s="46" t="s">
        <v>162</v>
      </c>
      <c r="F8" s="46" t="s">
        <v>163</v>
      </c>
      <c r="G8" s="46" t="s">
        <v>164</v>
      </c>
      <c r="H8" s="46" t="s">
        <v>165</v>
      </c>
      <c r="I8" s="46" t="s">
        <v>166</v>
      </c>
      <c r="J8" s="46" t="s">
        <v>167</v>
      </c>
      <c r="K8" s="46" t="s">
        <v>168</v>
      </c>
      <c r="L8" s="46" t="s">
        <v>169</v>
      </c>
      <c r="M8" s="46" t="s">
        <v>170</v>
      </c>
      <c r="N8" s="46" t="s">
        <v>171</v>
      </c>
    </row>
    <row r="9" spans="2:14" x14ac:dyDescent="0.25">
      <c r="B9" s="1" t="s">
        <v>28</v>
      </c>
      <c r="C9">
        <v>64</v>
      </c>
      <c r="D9">
        <v>93</v>
      </c>
      <c r="E9">
        <v>85</v>
      </c>
      <c r="F9">
        <v>69</v>
      </c>
      <c r="G9">
        <v>90</v>
      </c>
      <c r="H9">
        <v>79</v>
      </c>
      <c r="I9">
        <v>98</v>
      </c>
      <c r="J9">
        <v>98</v>
      </c>
      <c r="K9">
        <v>84</v>
      </c>
      <c r="L9">
        <v>71</v>
      </c>
      <c r="M9">
        <v>87</v>
      </c>
      <c r="N9">
        <v>79</v>
      </c>
    </row>
    <row r="10" spans="2:14" x14ac:dyDescent="0.25">
      <c r="B10" s="1" t="s">
        <v>29</v>
      </c>
      <c r="C10">
        <v>63</v>
      </c>
      <c r="D10">
        <v>65</v>
      </c>
      <c r="E10">
        <v>87</v>
      </c>
      <c r="F10">
        <v>78</v>
      </c>
      <c r="G10">
        <v>69</v>
      </c>
      <c r="H10">
        <v>94</v>
      </c>
      <c r="I10">
        <v>79</v>
      </c>
      <c r="J10">
        <v>80</v>
      </c>
      <c r="K10">
        <v>68</v>
      </c>
      <c r="L10">
        <v>79</v>
      </c>
      <c r="M10">
        <v>76</v>
      </c>
      <c r="N10">
        <v>83</v>
      </c>
    </row>
    <row r="11" spans="2:14" x14ac:dyDescent="0.25">
      <c r="B11" s="1" t="s">
        <v>32</v>
      </c>
      <c r="C11">
        <v>82</v>
      </c>
      <c r="D11">
        <v>82</v>
      </c>
      <c r="E11">
        <v>62</v>
      </c>
      <c r="F11">
        <v>69</v>
      </c>
      <c r="G11">
        <v>78</v>
      </c>
      <c r="H11">
        <v>89</v>
      </c>
      <c r="I11">
        <v>91</v>
      </c>
      <c r="J11">
        <v>78</v>
      </c>
      <c r="K11">
        <v>62</v>
      </c>
      <c r="L11">
        <v>73</v>
      </c>
      <c r="M11">
        <v>86</v>
      </c>
      <c r="N11">
        <v>92</v>
      </c>
    </row>
    <row r="12" spans="2:14" x14ac:dyDescent="0.25">
      <c r="B12" s="1" t="s">
        <v>42</v>
      </c>
      <c r="C12">
        <v>64</v>
      </c>
      <c r="D12">
        <v>67</v>
      </c>
      <c r="E12">
        <v>60</v>
      </c>
      <c r="F12">
        <v>86</v>
      </c>
      <c r="G12">
        <v>94</v>
      </c>
      <c r="H12">
        <v>87</v>
      </c>
      <c r="I12">
        <v>90</v>
      </c>
      <c r="J12">
        <v>89</v>
      </c>
      <c r="K12">
        <v>85</v>
      </c>
      <c r="L12">
        <v>80</v>
      </c>
      <c r="M12">
        <v>60</v>
      </c>
      <c r="N12">
        <v>84</v>
      </c>
    </row>
    <row r="13" spans="2:14" x14ac:dyDescent="0.25">
      <c r="B13" s="1" t="s">
        <v>31</v>
      </c>
      <c r="C13">
        <v>64</v>
      </c>
      <c r="D13">
        <v>62</v>
      </c>
      <c r="E13">
        <v>83</v>
      </c>
      <c r="F13">
        <v>79</v>
      </c>
      <c r="G13">
        <v>92</v>
      </c>
      <c r="H13">
        <v>81</v>
      </c>
      <c r="I13">
        <v>71</v>
      </c>
      <c r="J13">
        <v>96</v>
      </c>
      <c r="K13">
        <v>62</v>
      </c>
      <c r="L13">
        <v>75</v>
      </c>
      <c r="M13">
        <v>71</v>
      </c>
      <c r="N13">
        <v>69</v>
      </c>
    </row>
    <row r="14" spans="2:14" x14ac:dyDescent="0.25">
      <c r="B14" s="1" t="s">
        <v>29</v>
      </c>
      <c r="C14">
        <v>89</v>
      </c>
      <c r="D14">
        <v>80</v>
      </c>
      <c r="E14">
        <v>95</v>
      </c>
      <c r="F14">
        <v>69</v>
      </c>
      <c r="G14">
        <v>91</v>
      </c>
      <c r="H14">
        <v>77</v>
      </c>
      <c r="I14">
        <v>65</v>
      </c>
      <c r="J14">
        <v>74</v>
      </c>
      <c r="K14">
        <v>77</v>
      </c>
      <c r="L14">
        <v>81</v>
      </c>
      <c r="M14">
        <v>97</v>
      </c>
      <c r="N14">
        <v>65</v>
      </c>
    </row>
    <row r="15" spans="2:14" x14ac:dyDescent="0.25">
      <c r="B15" s="1" t="s">
        <v>43</v>
      </c>
      <c r="C15">
        <v>62</v>
      </c>
      <c r="D15">
        <v>86</v>
      </c>
      <c r="E15">
        <v>66</v>
      </c>
      <c r="F15">
        <v>77</v>
      </c>
      <c r="G15">
        <v>82</v>
      </c>
      <c r="H15">
        <v>87</v>
      </c>
      <c r="I15">
        <v>71</v>
      </c>
      <c r="J15">
        <v>89</v>
      </c>
      <c r="K15">
        <v>97</v>
      </c>
      <c r="L15">
        <v>70</v>
      </c>
      <c r="M15">
        <v>70</v>
      </c>
      <c r="N15">
        <v>72</v>
      </c>
    </row>
    <row r="16" spans="2:14" x14ac:dyDescent="0.25">
      <c r="B16" s="1" t="s">
        <v>30</v>
      </c>
      <c r="C16">
        <v>75</v>
      </c>
      <c r="D16">
        <v>93</v>
      </c>
      <c r="E16">
        <v>86</v>
      </c>
      <c r="F16">
        <v>91</v>
      </c>
      <c r="G16">
        <v>79</v>
      </c>
      <c r="H16">
        <v>86</v>
      </c>
      <c r="I16">
        <v>91</v>
      </c>
      <c r="J16">
        <v>75</v>
      </c>
      <c r="K16">
        <v>99</v>
      </c>
      <c r="L16">
        <v>75</v>
      </c>
      <c r="M16">
        <v>73</v>
      </c>
      <c r="N16">
        <v>75</v>
      </c>
    </row>
    <row r="17" spans="2:14" x14ac:dyDescent="0.25">
      <c r="B17" s="1" t="s">
        <v>28</v>
      </c>
      <c r="C17">
        <v>74</v>
      </c>
      <c r="D17">
        <v>83</v>
      </c>
      <c r="E17">
        <v>94</v>
      </c>
      <c r="F17">
        <v>80</v>
      </c>
      <c r="G17">
        <v>61</v>
      </c>
      <c r="H17">
        <v>85</v>
      </c>
      <c r="I17">
        <v>78</v>
      </c>
      <c r="J17">
        <v>75</v>
      </c>
      <c r="K17">
        <v>83</v>
      </c>
      <c r="L17">
        <v>93</v>
      </c>
      <c r="M17">
        <v>78</v>
      </c>
      <c r="N17">
        <v>66</v>
      </c>
    </row>
    <row r="18" spans="2:14" x14ac:dyDescent="0.25">
      <c r="B18" s="1" t="s">
        <v>29</v>
      </c>
      <c r="C18">
        <v>71</v>
      </c>
      <c r="D18">
        <v>92</v>
      </c>
      <c r="E18">
        <v>95</v>
      </c>
      <c r="F18">
        <v>77</v>
      </c>
      <c r="G18">
        <v>92</v>
      </c>
      <c r="H18">
        <v>96</v>
      </c>
      <c r="I18">
        <v>62</v>
      </c>
      <c r="J18">
        <v>96</v>
      </c>
      <c r="K18">
        <v>71</v>
      </c>
      <c r="L18">
        <v>62</v>
      </c>
      <c r="M18">
        <v>93</v>
      </c>
      <c r="N18">
        <v>86</v>
      </c>
    </row>
    <row r="19" spans="2:14" x14ac:dyDescent="0.25">
      <c r="B19" s="1" t="s">
        <v>32</v>
      </c>
      <c r="C19">
        <v>94</v>
      </c>
      <c r="D19">
        <v>79</v>
      </c>
      <c r="E19">
        <v>75</v>
      </c>
      <c r="F19">
        <v>92</v>
      </c>
      <c r="G19">
        <v>67</v>
      </c>
      <c r="H19">
        <v>92</v>
      </c>
      <c r="I19">
        <v>91</v>
      </c>
      <c r="J19">
        <v>79</v>
      </c>
      <c r="K19">
        <v>88</v>
      </c>
      <c r="L19">
        <v>86</v>
      </c>
      <c r="M19">
        <v>96</v>
      </c>
      <c r="N19">
        <v>91</v>
      </c>
    </row>
    <row r="20" spans="2:14" x14ac:dyDescent="0.25">
      <c r="B20" s="1" t="s">
        <v>41</v>
      </c>
      <c r="C20">
        <v>93</v>
      </c>
      <c r="D20">
        <v>88</v>
      </c>
      <c r="E20">
        <v>95</v>
      </c>
      <c r="F20">
        <v>66</v>
      </c>
      <c r="G20">
        <v>62</v>
      </c>
      <c r="H20">
        <v>75</v>
      </c>
      <c r="I20">
        <v>84</v>
      </c>
      <c r="J20">
        <v>68</v>
      </c>
      <c r="K20">
        <v>61</v>
      </c>
      <c r="L20">
        <v>88</v>
      </c>
      <c r="M20">
        <v>83</v>
      </c>
      <c r="N20">
        <v>89</v>
      </c>
    </row>
    <row r="21" spans="2:14" x14ac:dyDescent="0.25">
      <c r="B21" s="1" t="s">
        <v>42</v>
      </c>
      <c r="C21">
        <v>82</v>
      </c>
      <c r="D21">
        <v>88</v>
      </c>
      <c r="E21">
        <v>94</v>
      </c>
      <c r="F21">
        <v>86</v>
      </c>
      <c r="G21">
        <v>61</v>
      </c>
      <c r="H21">
        <v>71</v>
      </c>
      <c r="I21">
        <v>69</v>
      </c>
      <c r="J21">
        <v>60</v>
      </c>
      <c r="K21">
        <v>76</v>
      </c>
      <c r="L21">
        <v>60</v>
      </c>
      <c r="M21">
        <v>81</v>
      </c>
      <c r="N21">
        <v>97</v>
      </c>
    </row>
    <row r="22" spans="2:14" x14ac:dyDescent="0.25">
      <c r="B22" s="1" t="s">
        <v>36</v>
      </c>
      <c r="C22">
        <v>68</v>
      </c>
      <c r="D22">
        <v>91</v>
      </c>
      <c r="E22">
        <v>65</v>
      </c>
      <c r="F22">
        <v>75</v>
      </c>
      <c r="G22">
        <v>95</v>
      </c>
      <c r="H22">
        <v>74</v>
      </c>
      <c r="I22">
        <v>61</v>
      </c>
      <c r="J22">
        <v>90</v>
      </c>
      <c r="K22">
        <v>76</v>
      </c>
      <c r="L22">
        <v>60</v>
      </c>
      <c r="M22">
        <v>80</v>
      </c>
      <c r="N22">
        <v>78</v>
      </c>
    </row>
    <row r="23" spans="2:14" x14ac:dyDescent="0.25">
      <c r="B23" s="1" t="s">
        <v>31</v>
      </c>
      <c r="C23">
        <v>69</v>
      </c>
      <c r="D23">
        <v>68</v>
      </c>
      <c r="E23">
        <v>97</v>
      </c>
      <c r="F23">
        <v>100</v>
      </c>
      <c r="G23">
        <v>74</v>
      </c>
      <c r="H23">
        <v>96</v>
      </c>
      <c r="I23">
        <v>70</v>
      </c>
      <c r="J23">
        <v>67</v>
      </c>
      <c r="K23">
        <v>75</v>
      </c>
      <c r="L23">
        <v>80</v>
      </c>
      <c r="M23">
        <v>63</v>
      </c>
      <c r="N23">
        <v>71</v>
      </c>
    </row>
    <row r="24" spans="2:14" x14ac:dyDescent="0.25">
      <c r="B24" s="1" t="s">
        <v>30</v>
      </c>
      <c r="C24">
        <v>100</v>
      </c>
      <c r="D24">
        <v>65</v>
      </c>
      <c r="E24">
        <v>70</v>
      </c>
      <c r="F24">
        <v>71</v>
      </c>
      <c r="G24">
        <v>86</v>
      </c>
      <c r="H24">
        <v>91</v>
      </c>
      <c r="I24">
        <v>78</v>
      </c>
      <c r="J24">
        <v>93</v>
      </c>
      <c r="K24">
        <v>91</v>
      </c>
      <c r="L24">
        <v>91</v>
      </c>
      <c r="M24">
        <v>100</v>
      </c>
      <c r="N24">
        <v>62</v>
      </c>
    </row>
    <row r="25" spans="2:14" x14ac:dyDescent="0.25">
      <c r="B25" s="1" t="s">
        <v>40</v>
      </c>
      <c r="C25">
        <v>65</v>
      </c>
      <c r="D25">
        <v>61</v>
      </c>
      <c r="E25">
        <v>88</v>
      </c>
      <c r="F25">
        <v>99</v>
      </c>
      <c r="G25">
        <v>64</v>
      </c>
      <c r="H25">
        <v>80</v>
      </c>
      <c r="I25">
        <v>67</v>
      </c>
      <c r="J25">
        <v>61</v>
      </c>
      <c r="K25">
        <v>73</v>
      </c>
      <c r="L25">
        <v>87</v>
      </c>
      <c r="M25">
        <v>96</v>
      </c>
      <c r="N25">
        <v>68</v>
      </c>
    </row>
    <row r="26" spans="2:14" x14ac:dyDescent="0.25">
      <c r="B26" s="1" t="s">
        <v>43</v>
      </c>
      <c r="C26">
        <v>77</v>
      </c>
      <c r="D26">
        <v>83</v>
      </c>
      <c r="E26">
        <v>75</v>
      </c>
      <c r="F26">
        <v>91</v>
      </c>
      <c r="G26">
        <v>89</v>
      </c>
      <c r="H26">
        <v>85</v>
      </c>
      <c r="I26">
        <v>66</v>
      </c>
      <c r="J26">
        <v>100</v>
      </c>
      <c r="K26">
        <v>85</v>
      </c>
      <c r="L26">
        <v>89</v>
      </c>
      <c r="M26">
        <v>91</v>
      </c>
      <c r="N26">
        <v>86</v>
      </c>
    </row>
    <row r="27" spans="2:14" x14ac:dyDescent="0.25">
      <c r="B27" s="1" t="s">
        <v>33</v>
      </c>
      <c r="C27">
        <v>68</v>
      </c>
      <c r="D27">
        <v>82</v>
      </c>
      <c r="E27">
        <v>76</v>
      </c>
      <c r="F27">
        <v>77</v>
      </c>
      <c r="G27">
        <v>82</v>
      </c>
      <c r="H27">
        <v>96</v>
      </c>
      <c r="I27">
        <v>80</v>
      </c>
      <c r="J27">
        <v>70</v>
      </c>
      <c r="K27">
        <v>82</v>
      </c>
      <c r="L27">
        <v>80</v>
      </c>
      <c r="M27">
        <v>86</v>
      </c>
      <c r="N27">
        <v>78</v>
      </c>
    </row>
    <row r="28" spans="2:14" x14ac:dyDescent="0.25">
      <c r="B28" s="1" t="s">
        <v>37</v>
      </c>
      <c r="C28">
        <v>90</v>
      </c>
      <c r="D28">
        <v>82</v>
      </c>
      <c r="E28">
        <v>96</v>
      </c>
      <c r="F28">
        <v>85</v>
      </c>
      <c r="G28">
        <v>60</v>
      </c>
      <c r="H28">
        <v>95</v>
      </c>
      <c r="I28">
        <v>81</v>
      </c>
      <c r="J28">
        <v>85</v>
      </c>
      <c r="K28">
        <v>65</v>
      </c>
      <c r="L28">
        <v>66</v>
      </c>
      <c r="M28">
        <v>96</v>
      </c>
      <c r="N28">
        <v>96</v>
      </c>
    </row>
    <row r="29" spans="2:14" x14ac:dyDescent="0.25">
      <c r="B29" s="1" t="s">
        <v>44</v>
      </c>
      <c r="C29">
        <v>83</v>
      </c>
      <c r="D29">
        <v>99</v>
      </c>
      <c r="E29">
        <v>68</v>
      </c>
      <c r="F29">
        <v>86</v>
      </c>
      <c r="G29">
        <v>87</v>
      </c>
      <c r="H29">
        <v>80</v>
      </c>
      <c r="I29">
        <v>89</v>
      </c>
      <c r="J29">
        <v>78</v>
      </c>
      <c r="K29">
        <v>93</v>
      </c>
      <c r="L29">
        <v>79</v>
      </c>
      <c r="M29">
        <v>60</v>
      </c>
      <c r="N29">
        <v>66</v>
      </c>
    </row>
    <row r="30" spans="2:14" x14ac:dyDescent="0.25">
      <c r="B30" s="1" t="s">
        <v>138</v>
      </c>
      <c r="C30">
        <v>92</v>
      </c>
      <c r="D30">
        <v>86</v>
      </c>
      <c r="E30">
        <v>73</v>
      </c>
      <c r="F30">
        <v>92</v>
      </c>
      <c r="G30">
        <v>61</v>
      </c>
      <c r="H30">
        <v>79</v>
      </c>
      <c r="I30">
        <v>77</v>
      </c>
      <c r="J30">
        <v>64</v>
      </c>
      <c r="K30">
        <v>100</v>
      </c>
      <c r="L30">
        <v>81</v>
      </c>
      <c r="M30">
        <v>63</v>
      </c>
      <c r="N30">
        <v>79</v>
      </c>
    </row>
    <row r="31" spans="2:14" x14ac:dyDescent="0.25">
      <c r="B31" s="1" t="s">
        <v>28</v>
      </c>
      <c r="C31">
        <v>69</v>
      </c>
      <c r="D31">
        <v>98</v>
      </c>
      <c r="E31">
        <v>100</v>
      </c>
      <c r="F31">
        <v>85</v>
      </c>
      <c r="G31">
        <v>77</v>
      </c>
      <c r="H31">
        <v>60</v>
      </c>
      <c r="I31">
        <v>83</v>
      </c>
      <c r="J31">
        <v>99</v>
      </c>
      <c r="K31">
        <v>71</v>
      </c>
      <c r="L31">
        <v>80</v>
      </c>
      <c r="M31">
        <v>92</v>
      </c>
      <c r="N31">
        <v>67</v>
      </c>
    </row>
    <row r="32" spans="2:14" x14ac:dyDescent="0.25">
      <c r="B32" s="1" t="s">
        <v>31</v>
      </c>
      <c r="C32">
        <v>69</v>
      </c>
      <c r="D32">
        <v>76</v>
      </c>
      <c r="E32">
        <v>74</v>
      </c>
      <c r="F32">
        <v>63</v>
      </c>
      <c r="G32">
        <v>88</v>
      </c>
      <c r="H32">
        <v>97</v>
      </c>
      <c r="I32">
        <v>76</v>
      </c>
      <c r="J32">
        <v>88</v>
      </c>
      <c r="K32">
        <v>90</v>
      </c>
      <c r="L32">
        <v>82</v>
      </c>
      <c r="M32">
        <v>81</v>
      </c>
      <c r="N32">
        <v>81</v>
      </c>
    </row>
    <row r="33" spans="2:14" x14ac:dyDescent="0.25">
      <c r="B33" s="1" t="s">
        <v>46</v>
      </c>
      <c r="C33">
        <v>97</v>
      </c>
      <c r="D33">
        <v>86</v>
      </c>
      <c r="E33">
        <v>82</v>
      </c>
      <c r="F33">
        <v>76</v>
      </c>
      <c r="G33">
        <v>85</v>
      </c>
      <c r="H33">
        <v>66</v>
      </c>
      <c r="I33">
        <v>94</v>
      </c>
      <c r="J33">
        <v>98</v>
      </c>
      <c r="K33">
        <v>90</v>
      </c>
      <c r="L33">
        <v>66</v>
      </c>
      <c r="M33">
        <v>94</v>
      </c>
      <c r="N33">
        <v>66</v>
      </c>
    </row>
    <row r="34" spans="2:14" x14ac:dyDescent="0.25">
      <c r="B34" s="1" t="s">
        <v>35</v>
      </c>
      <c r="C34">
        <v>75</v>
      </c>
      <c r="D34">
        <v>79</v>
      </c>
      <c r="E34">
        <v>86</v>
      </c>
      <c r="F34">
        <v>84</v>
      </c>
      <c r="G34">
        <v>76</v>
      </c>
      <c r="H34">
        <v>64</v>
      </c>
      <c r="I34">
        <v>70</v>
      </c>
      <c r="J34">
        <v>69</v>
      </c>
      <c r="K34">
        <v>91</v>
      </c>
      <c r="L34">
        <v>78</v>
      </c>
      <c r="M34">
        <v>67</v>
      </c>
      <c r="N34">
        <v>79</v>
      </c>
    </row>
    <row r="35" spans="2:14" x14ac:dyDescent="0.25">
      <c r="B35" s="1" t="s">
        <v>29</v>
      </c>
      <c r="C35">
        <v>75</v>
      </c>
      <c r="D35">
        <v>93</v>
      </c>
      <c r="E35">
        <v>91</v>
      </c>
      <c r="F35">
        <v>68</v>
      </c>
      <c r="G35">
        <v>86</v>
      </c>
      <c r="H35">
        <v>65</v>
      </c>
      <c r="I35">
        <v>60</v>
      </c>
      <c r="J35">
        <v>72</v>
      </c>
      <c r="K35">
        <v>86</v>
      </c>
      <c r="L35">
        <v>84</v>
      </c>
      <c r="M35">
        <v>63</v>
      </c>
      <c r="N35">
        <v>100</v>
      </c>
    </row>
    <row r="36" spans="2:14" x14ac:dyDescent="0.25">
      <c r="B36" s="1" t="s">
        <v>33</v>
      </c>
      <c r="C36">
        <v>81</v>
      </c>
      <c r="D36">
        <v>62</v>
      </c>
      <c r="E36">
        <v>66</v>
      </c>
      <c r="F36">
        <v>99</v>
      </c>
      <c r="G36">
        <v>60</v>
      </c>
      <c r="H36">
        <v>87</v>
      </c>
      <c r="I36">
        <v>71</v>
      </c>
      <c r="J36">
        <v>80</v>
      </c>
      <c r="K36">
        <v>88</v>
      </c>
      <c r="L36">
        <v>76</v>
      </c>
      <c r="M36">
        <v>86</v>
      </c>
      <c r="N36">
        <v>60</v>
      </c>
    </row>
    <row r="37" spans="2:14" x14ac:dyDescent="0.25">
      <c r="B37" s="1" t="s">
        <v>37</v>
      </c>
      <c r="C37">
        <v>70</v>
      </c>
      <c r="D37">
        <v>82</v>
      </c>
      <c r="E37">
        <v>96</v>
      </c>
      <c r="F37">
        <v>94</v>
      </c>
      <c r="G37">
        <v>92</v>
      </c>
      <c r="H37">
        <v>70</v>
      </c>
      <c r="I37">
        <v>100</v>
      </c>
      <c r="J37">
        <v>72</v>
      </c>
      <c r="K37">
        <v>64</v>
      </c>
      <c r="L37">
        <v>92</v>
      </c>
      <c r="M37">
        <v>79</v>
      </c>
      <c r="N37">
        <v>78</v>
      </c>
    </row>
  </sheetData>
  <phoneticPr fontId="2"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7687A-0C3B-4AA1-9846-3CAB3C0C32C0}">
  <sheetPr codeName="Sheet14"/>
  <dimension ref="B8:N37"/>
  <sheetViews>
    <sheetView topLeftCell="A4" workbookViewId="0">
      <selection activeCell="C8" sqref="C8"/>
    </sheetView>
  </sheetViews>
  <sheetFormatPr defaultRowHeight="15" x14ac:dyDescent="0.25"/>
  <cols>
    <col min="2" max="2" width="15" customWidth="1"/>
    <col min="3" max="3" width="12.140625" customWidth="1"/>
  </cols>
  <sheetData>
    <row r="8" spans="2:14" x14ac:dyDescent="0.25">
      <c r="B8" s="46" t="s">
        <v>17</v>
      </c>
      <c r="C8" s="46" t="s">
        <v>160</v>
      </c>
      <c r="D8" s="46" t="s">
        <v>161</v>
      </c>
      <c r="E8" s="46" t="s">
        <v>162</v>
      </c>
      <c r="F8" s="46" t="s">
        <v>163</v>
      </c>
      <c r="G8" s="46" t="s">
        <v>164</v>
      </c>
      <c r="H8" s="46" t="s">
        <v>165</v>
      </c>
      <c r="I8" s="46" t="s">
        <v>166</v>
      </c>
      <c r="J8" s="46" t="s">
        <v>167</v>
      </c>
      <c r="K8" s="46" t="s">
        <v>168</v>
      </c>
      <c r="L8" s="46" t="s">
        <v>169</v>
      </c>
      <c r="M8" s="46" t="s">
        <v>170</v>
      </c>
      <c r="N8" s="46" t="s">
        <v>171</v>
      </c>
    </row>
    <row r="9" spans="2:14" x14ac:dyDescent="0.25">
      <c r="B9" s="1" t="s">
        <v>28</v>
      </c>
      <c r="C9" s="1">
        <f>VLOOKUP($B9,'DASHBOARD 2'!$B$8:$N$37,MATCH('DASHBOARD 3'!C$8,'DASHBOARD 2'!$B$8:$N$8,0),0)</f>
        <v>64</v>
      </c>
      <c r="D9" s="1">
        <f>VLOOKUP($B9,'DASHBOARD 2'!$B$8:$N$37,MATCH('DASHBOARD 3'!D$8,'DASHBOARD 2'!$B$8:$N$8,0),0)</f>
        <v>93</v>
      </c>
      <c r="E9" s="1">
        <f>VLOOKUP($B9,'DASHBOARD 2'!$B$8:$N$37,MATCH('DASHBOARD 3'!E$8,'DASHBOARD 2'!$B$8:$N$8,0),0)</f>
        <v>85</v>
      </c>
      <c r="F9" s="1">
        <f>VLOOKUP($B9,'DASHBOARD 2'!$B$8:$N$37,MATCH('DASHBOARD 3'!F$8,'DASHBOARD 2'!$B$8:$N$8,0),0)</f>
        <v>69</v>
      </c>
      <c r="G9" s="1">
        <f>VLOOKUP($B9,'DASHBOARD 2'!$B$8:$N$37,MATCH('DASHBOARD 3'!G$8,'DASHBOARD 2'!$B$8:$N$8,0),0)</f>
        <v>90</v>
      </c>
      <c r="H9" s="1">
        <f>VLOOKUP($B9,'DASHBOARD 2'!$B$8:$N$37,MATCH('DASHBOARD 3'!H$8,'DASHBOARD 2'!$B$8:$N$8,0),0)</f>
        <v>79</v>
      </c>
      <c r="I9" s="1">
        <f>VLOOKUP($B9,'DASHBOARD 2'!$B$8:$N$37,MATCH('DASHBOARD 3'!I$8,'DASHBOARD 2'!$B$8:$N$8,0),0)</f>
        <v>98</v>
      </c>
      <c r="J9" s="1">
        <f>VLOOKUP($B9,'DASHBOARD 2'!$B$8:$N$37,MATCH('DASHBOARD 3'!J$8,'DASHBOARD 2'!$B$8:$N$8,0),0)</f>
        <v>98</v>
      </c>
      <c r="K9" s="1">
        <f>VLOOKUP($B9,'DASHBOARD 2'!$B$8:$N$37,MATCH('DASHBOARD 3'!K$8,'DASHBOARD 2'!$B$8:$N$8,0),0)</f>
        <v>84</v>
      </c>
      <c r="L9" s="1">
        <f>VLOOKUP($B9,'DASHBOARD 2'!$B$8:$N$37,MATCH('DASHBOARD 3'!L$8,'DASHBOARD 2'!$B$8:$N$8,0),0)</f>
        <v>71</v>
      </c>
      <c r="M9" s="1">
        <f>VLOOKUP($B9,'DASHBOARD 2'!$B$8:$N$37,MATCH('DASHBOARD 3'!M$8,'DASHBOARD 2'!$B$8:$N$8,0),0)</f>
        <v>87</v>
      </c>
      <c r="N9" s="1">
        <f>VLOOKUP($B9,'DASHBOARD 2'!$B$8:$N$37,MATCH('DASHBOARD 3'!N$8,'DASHBOARD 2'!$B$8:$N$8,0),0)</f>
        <v>79</v>
      </c>
    </row>
    <row r="10" spans="2:14" x14ac:dyDescent="0.25">
      <c r="B10" s="1" t="s">
        <v>29</v>
      </c>
      <c r="C10" s="1">
        <f>VLOOKUP($B10,'DASHBOARD 2'!$B$8:$N$37,MATCH('DASHBOARD 3'!C$8,'DASHBOARD 2'!$B$8:$N$8,0),0)</f>
        <v>63</v>
      </c>
      <c r="D10" s="1">
        <f>VLOOKUP($B10,'DASHBOARD 2'!$B$8:$N$37,MATCH('DASHBOARD 3'!D$8,'DASHBOARD 2'!$B$8:$N$8,0),0)</f>
        <v>65</v>
      </c>
      <c r="E10" s="1">
        <f>VLOOKUP($B10,'DASHBOARD 2'!$B$8:$N$37,MATCH('DASHBOARD 3'!E$8,'DASHBOARD 2'!$B$8:$N$8,0),0)</f>
        <v>87</v>
      </c>
      <c r="F10" s="1">
        <f>VLOOKUP($B10,'DASHBOARD 2'!$B$8:$N$37,MATCH('DASHBOARD 3'!F$8,'DASHBOARD 2'!$B$8:$N$8,0),0)</f>
        <v>78</v>
      </c>
      <c r="G10" s="1">
        <f>VLOOKUP($B10,'DASHBOARD 2'!$B$8:$N$37,MATCH('DASHBOARD 3'!G$8,'DASHBOARD 2'!$B$8:$N$8,0),0)</f>
        <v>69</v>
      </c>
      <c r="H10" s="1">
        <f>VLOOKUP($B10,'DASHBOARD 2'!$B$8:$N$37,MATCH('DASHBOARD 3'!H$8,'DASHBOARD 2'!$B$8:$N$8,0),0)</f>
        <v>94</v>
      </c>
      <c r="I10" s="1">
        <f>VLOOKUP($B10,'DASHBOARD 2'!$B$8:$N$37,MATCH('DASHBOARD 3'!I$8,'DASHBOARD 2'!$B$8:$N$8,0),0)</f>
        <v>79</v>
      </c>
      <c r="J10" s="1">
        <f>VLOOKUP($B10,'DASHBOARD 2'!$B$8:$N$37,MATCH('DASHBOARD 3'!J$8,'DASHBOARD 2'!$B$8:$N$8,0),0)</f>
        <v>80</v>
      </c>
      <c r="K10" s="1">
        <f>VLOOKUP($B10,'DASHBOARD 2'!$B$8:$N$37,MATCH('DASHBOARD 3'!K$8,'DASHBOARD 2'!$B$8:$N$8,0),0)</f>
        <v>68</v>
      </c>
      <c r="L10" s="1">
        <f>VLOOKUP($B10,'DASHBOARD 2'!$B$8:$N$37,MATCH('DASHBOARD 3'!L$8,'DASHBOARD 2'!$B$8:$N$8,0),0)</f>
        <v>79</v>
      </c>
      <c r="M10" s="1">
        <f>VLOOKUP($B10,'DASHBOARD 2'!$B$8:$N$37,MATCH('DASHBOARD 3'!M$8,'DASHBOARD 2'!$B$8:$N$8,0),0)</f>
        <v>76</v>
      </c>
      <c r="N10" s="1">
        <f>VLOOKUP($B10,'DASHBOARD 2'!$B$8:$N$37,MATCH('DASHBOARD 3'!N$8,'DASHBOARD 2'!$B$8:$N$8,0),0)</f>
        <v>83</v>
      </c>
    </row>
    <row r="11" spans="2:14" x14ac:dyDescent="0.25">
      <c r="B11" s="1" t="s">
        <v>32</v>
      </c>
      <c r="C11" s="1">
        <f>VLOOKUP($B11,'DASHBOARD 2'!$B$8:$N$37,MATCH('DASHBOARD 3'!C$8,'DASHBOARD 2'!$B$8:$N$8,0),0)</f>
        <v>82</v>
      </c>
      <c r="D11" s="1">
        <f>VLOOKUP($B11,'DASHBOARD 2'!$B$8:$N$37,MATCH('DASHBOARD 3'!D$8,'DASHBOARD 2'!$B$8:$N$8,0),0)</f>
        <v>82</v>
      </c>
      <c r="E11" s="1">
        <f>VLOOKUP($B11,'DASHBOARD 2'!$B$8:$N$37,MATCH('DASHBOARD 3'!E$8,'DASHBOARD 2'!$B$8:$N$8,0),0)</f>
        <v>62</v>
      </c>
      <c r="F11" s="1">
        <f>VLOOKUP($B11,'DASHBOARD 2'!$B$8:$N$37,MATCH('DASHBOARD 3'!F$8,'DASHBOARD 2'!$B$8:$N$8,0),0)</f>
        <v>69</v>
      </c>
      <c r="G11" s="1">
        <f>VLOOKUP($B11,'DASHBOARD 2'!$B$8:$N$37,MATCH('DASHBOARD 3'!G$8,'DASHBOARD 2'!$B$8:$N$8,0),0)</f>
        <v>78</v>
      </c>
      <c r="H11" s="1">
        <f>VLOOKUP($B11,'DASHBOARD 2'!$B$8:$N$37,MATCH('DASHBOARD 3'!H$8,'DASHBOARD 2'!$B$8:$N$8,0),0)</f>
        <v>89</v>
      </c>
      <c r="I11" s="1">
        <f>VLOOKUP($B11,'DASHBOARD 2'!$B$8:$N$37,MATCH('DASHBOARD 3'!I$8,'DASHBOARD 2'!$B$8:$N$8,0),0)</f>
        <v>91</v>
      </c>
      <c r="J11" s="1">
        <f>VLOOKUP($B11,'DASHBOARD 2'!$B$8:$N$37,MATCH('DASHBOARD 3'!J$8,'DASHBOARD 2'!$B$8:$N$8,0),0)</f>
        <v>78</v>
      </c>
      <c r="K11" s="1">
        <f>VLOOKUP($B11,'DASHBOARD 2'!$B$8:$N$37,MATCH('DASHBOARD 3'!K$8,'DASHBOARD 2'!$B$8:$N$8,0),0)</f>
        <v>62</v>
      </c>
      <c r="L11" s="1">
        <f>VLOOKUP($B11,'DASHBOARD 2'!$B$8:$N$37,MATCH('DASHBOARD 3'!L$8,'DASHBOARD 2'!$B$8:$N$8,0),0)</f>
        <v>73</v>
      </c>
      <c r="M11" s="1">
        <f>VLOOKUP($B11,'DASHBOARD 2'!$B$8:$N$37,MATCH('DASHBOARD 3'!M$8,'DASHBOARD 2'!$B$8:$N$8,0),0)</f>
        <v>86</v>
      </c>
      <c r="N11" s="1">
        <f>VLOOKUP($B11,'DASHBOARD 2'!$B$8:$N$37,MATCH('DASHBOARD 3'!N$8,'DASHBOARD 2'!$B$8:$N$8,0),0)</f>
        <v>92</v>
      </c>
    </row>
    <row r="12" spans="2:14" x14ac:dyDescent="0.25">
      <c r="B12" s="1" t="s">
        <v>42</v>
      </c>
      <c r="C12" s="1">
        <f>VLOOKUP($B12,'DASHBOARD 2'!$B$8:$N$37,MATCH('DASHBOARD 3'!C$8,'DASHBOARD 2'!$B$8:$N$8,0),0)</f>
        <v>64</v>
      </c>
      <c r="D12" s="1">
        <f>VLOOKUP($B12,'DASHBOARD 2'!$B$8:$N$37,MATCH('DASHBOARD 3'!D$8,'DASHBOARD 2'!$B$8:$N$8,0),0)</f>
        <v>67</v>
      </c>
      <c r="E12" s="1">
        <f>VLOOKUP($B12,'DASHBOARD 2'!$B$8:$N$37,MATCH('DASHBOARD 3'!E$8,'DASHBOARD 2'!$B$8:$N$8,0),0)</f>
        <v>60</v>
      </c>
      <c r="F12" s="1">
        <f>VLOOKUP($B12,'DASHBOARD 2'!$B$8:$N$37,MATCH('DASHBOARD 3'!F$8,'DASHBOARD 2'!$B$8:$N$8,0),0)</f>
        <v>86</v>
      </c>
      <c r="G12" s="1">
        <f>VLOOKUP($B12,'DASHBOARD 2'!$B$8:$N$37,MATCH('DASHBOARD 3'!G$8,'DASHBOARD 2'!$B$8:$N$8,0),0)</f>
        <v>94</v>
      </c>
      <c r="H12" s="1">
        <f>VLOOKUP($B12,'DASHBOARD 2'!$B$8:$N$37,MATCH('DASHBOARD 3'!H$8,'DASHBOARD 2'!$B$8:$N$8,0),0)</f>
        <v>87</v>
      </c>
      <c r="I12" s="1">
        <f>VLOOKUP($B12,'DASHBOARD 2'!$B$8:$N$37,MATCH('DASHBOARD 3'!I$8,'DASHBOARD 2'!$B$8:$N$8,0),0)</f>
        <v>90</v>
      </c>
      <c r="J12" s="1">
        <f>VLOOKUP($B12,'DASHBOARD 2'!$B$8:$N$37,MATCH('DASHBOARD 3'!J$8,'DASHBOARD 2'!$B$8:$N$8,0),0)</f>
        <v>89</v>
      </c>
      <c r="K12" s="1">
        <f>VLOOKUP($B12,'DASHBOARD 2'!$B$8:$N$37,MATCH('DASHBOARD 3'!K$8,'DASHBOARD 2'!$B$8:$N$8,0),0)</f>
        <v>85</v>
      </c>
      <c r="L12" s="1">
        <f>VLOOKUP($B12,'DASHBOARD 2'!$B$8:$N$37,MATCH('DASHBOARD 3'!L$8,'DASHBOARD 2'!$B$8:$N$8,0),0)</f>
        <v>80</v>
      </c>
      <c r="M12" s="1">
        <f>VLOOKUP($B12,'DASHBOARD 2'!$B$8:$N$37,MATCH('DASHBOARD 3'!M$8,'DASHBOARD 2'!$B$8:$N$8,0),0)</f>
        <v>60</v>
      </c>
      <c r="N12" s="1">
        <f>VLOOKUP($B12,'DASHBOARD 2'!$B$8:$N$37,MATCH('DASHBOARD 3'!N$8,'DASHBOARD 2'!$B$8:$N$8,0),0)</f>
        <v>84</v>
      </c>
    </row>
    <row r="13" spans="2:14" x14ac:dyDescent="0.25">
      <c r="B13" s="1" t="s">
        <v>31</v>
      </c>
      <c r="C13" s="1">
        <f>VLOOKUP($B13,'DASHBOARD 2'!$B$8:$N$37,MATCH('DASHBOARD 3'!C$8,'DASHBOARD 2'!$B$8:$N$8,0),0)</f>
        <v>64</v>
      </c>
      <c r="D13" s="1">
        <f>VLOOKUP($B13,'DASHBOARD 2'!$B$8:$N$37,MATCH('DASHBOARD 3'!D$8,'DASHBOARD 2'!$B$8:$N$8,0),0)</f>
        <v>62</v>
      </c>
      <c r="E13" s="1">
        <f>VLOOKUP($B13,'DASHBOARD 2'!$B$8:$N$37,MATCH('DASHBOARD 3'!E$8,'DASHBOARD 2'!$B$8:$N$8,0),0)</f>
        <v>83</v>
      </c>
      <c r="F13" s="1">
        <f>VLOOKUP($B13,'DASHBOARD 2'!$B$8:$N$37,MATCH('DASHBOARD 3'!F$8,'DASHBOARD 2'!$B$8:$N$8,0),0)</f>
        <v>79</v>
      </c>
      <c r="G13" s="1">
        <f>VLOOKUP($B13,'DASHBOARD 2'!$B$8:$N$37,MATCH('DASHBOARD 3'!G$8,'DASHBOARD 2'!$B$8:$N$8,0),0)</f>
        <v>92</v>
      </c>
      <c r="H13" s="1">
        <f>VLOOKUP($B13,'DASHBOARD 2'!$B$8:$N$37,MATCH('DASHBOARD 3'!H$8,'DASHBOARD 2'!$B$8:$N$8,0),0)</f>
        <v>81</v>
      </c>
      <c r="I13" s="1">
        <f>VLOOKUP($B13,'DASHBOARD 2'!$B$8:$N$37,MATCH('DASHBOARD 3'!I$8,'DASHBOARD 2'!$B$8:$N$8,0),0)</f>
        <v>71</v>
      </c>
      <c r="J13" s="1">
        <f>VLOOKUP($B13,'DASHBOARD 2'!$B$8:$N$37,MATCH('DASHBOARD 3'!J$8,'DASHBOARD 2'!$B$8:$N$8,0),0)</f>
        <v>96</v>
      </c>
      <c r="K13" s="1">
        <f>VLOOKUP($B13,'DASHBOARD 2'!$B$8:$N$37,MATCH('DASHBOARD 3'!K$8,'DASHBOARD 2'!$B$8:$N$8,0),0)</f>
        <v>62</v>
      </c>
      <c r="L13" s="1">
        <f>VLOOKUP($B13,'DASHBOARD 2'!$B$8:$N$37,MATCH('DASHBOARD 3'!L$8,'DASHBOARD 2'!$B$8:$N$8,0),0)</f>
        <v>75</v>
      </c>
      <c r="M13" s="1">
        <f>VLOOKUP($B13,'DASHBOARD 2'!$B$8:$N$37,MATCH('DASHBOARD 3'!M$8,'DASHBOARD 2'!$B$8:$N$8,0),0)</f>
        <v>71</v>
      </c>
      <c r="N13" s="1">
        <f>VLOOKUP($B13,'DASHBOARD 2'!$B$8:$N$37,MATCH('DASHBOARD 3'!N$8,'DASHBOARD 2'!$B$8:$N$8,0),0)</f>
        <v>69</v>
      </c>
    </row>
    <row r="14" spans="2:14" x14ac:dyDescent="0.25">
      <c r="B14" s="1" t="s">
        <v>29</v>
      </c>
      <c r="C14" s="1">
        <f>VLOOKUP($B14,'DASHBOARD 2'!$B$8:$N$37,MATCH('DASHBOARD 3'!C$8,'DASHBOARD 2'!$B$8:$N$8,0),0)</f>
        <v>63</v>
      </c>
      <c r="D14" s="1">
        <f>VLOOKUP($B14,'DASHBOARD 2'!$B$8:$N$37,MATCH('DASHBOARD 3'!D$8,'DASHBOARD 2'!$B$8:$N$8,0),0)</f>
        <v>65</v>
      </c>
      <c r="E14" s="1">
        <f>VLOOKUP($B14,'DASHBOARD 2'!$B$8:$N$37,MATCH('DASHBOARD 3'!E$8,'DASHBOARD 2'!$B$8:$N$8,0),0)</f>
        <v>87</v>
      </c>
      <c r="F14" s="1">
        <f>VLOOKUP($B14,'DASHBOARD 2'!$B$8:$N$37,MATCH('DASHBOARD 3'!F$8,'DASHBOARD 2'!$B$8:$N$8,0),0)</f>
        <v>78</v>
      </c>
      <c r="G14" s="1">
        <f>VLOOKUP($B14,'DASHBOARD 2'!$B$8:$N$37,MATCH('DASHBOARD 3'!G$8,'DASHBOARD 2'!$B$8:$N$8,0),0)</f>
        <v>69</v>
      </c>
      <c r="H14" s="1">
        <f>VLOOKUP($B14,'DASHBOARD 2'!$B$8:$N$37,MATCH('DASHBOARD 3'!H$8,'DASHBOARD 2'!$B$8:$N$8,0),0)</f>
        <v>94</v>
      </c>
      <c r="I14" s="1">
        <f>VLOOKUP($B14,'DASHBOARD 2'!$B$8:$N$37,MATCH('DASHBOARD 3'!I$8,'DASHBOARD 2'!$B$8:$N$8,0),0)</f>
        <v>79</v>
      </c>
      <c r="J14" s="1">
        <f>VLOOKUP($B14,'DASHBOARD 2'!$B$8:$N$37,MATCH('DASHBOARD 3'!J$8,'DASHBOARD 2'!$B$8:$N$8,0),0)</f>
        <v>80</v>
      </c>
      <c r="K14" s="1">
        <f>VLOOKUP($B14,'DASHBOARD 2'!$B$8:$N$37,MATCH('DASHBOARD 3'!K$8,'DASHBOARD 2'!$B$8:$N$8,0),0)</f>
        <v>68</v>
      </c>
      <c r="L14" s="1">
        <f>VLOOKUP($B14,'DASHBOARD 2'!$B$8:$N$37,MATCH('DASHBOARD 3'!L$8,'DASHBOARD 2'!$B$8:$N$8,0),0)</f>
        <v>79</v>
      </c>
      <c r="M14" s="1">
        <f>VLOOKUP($B14,'DASHBOARD 2'!$B$8:$N$37,MATCH('DASHBOARD 3'!M$8,'DASHBOARD 2'!$B$8:$N$8,0),0)</f>
        <v>76</v>
      </c>
      <c r="N14" s="1">
        <f>VLOOKUP($B14,'DASHBOARD 2'!$B$8:$N$37,MATCH('DASHBOARD 3'!N$8,'DASHBOARD 2'!$B$8:$N$8,0),0)</f>
        <v>83</v>
      </c>
    </row>
    <row r="15" spans="2:14" x14ac:dyDescent="0.25">
      <c r="B15" s="1" t="s">
        <v>43</v>
      </c>
      <c r="C15" s="1">
        <f>VLOOKUP($B15,'DASHBOARD 2'!$B$8:$N$37,MATCH('DASHBOARD 3'!C$8,'DASHBOARD 2'!$B$8:$N$8,0),0)</f>
        <v>62</v>
      </c>
      <c r="D15" s="1">
        <f>VLOOKUP($B15,'DASHBOARD 2'!$B$8:$N$37,MATCH('DASHBOARD 3'!D$8,'DASHBOARD 2'!$B$8:$N$8,0),0)</f>
        <v>86</v>
      </c>
      <c r="E15" s="1">
        <f>VLOOKUP($B15,'DASHBOARD 2'!$B$8:$N$37,MATCH('DASHBOARD 3'!E$8,'DASHBOARD 2'!$B$8:$N$8,0),0)</f>
        <v>66</v>
      </c>
      <c r="F15" s="1">
        <f>VLOOKUP($B15,'DASHBOARD 2'!$B$8:$N$37,MATCH('DASHBOARD 3'!F$8,'DASHBOARD 2'!$B$8:$N$8,0),0)</f>
        <v>77</v>
      </c>
      <c r="G15" s="1">
        <f>VLOOKUP($B15,'DASHBOARD 2'!$B$8:$N$37,MATCH('DASHBOARD 3'!G$8,'DASHBOARD 2'!$B$8:$N$8,0),0)</f>
        <v>82</v>
      </c>
      <c r="H15" s="1">
        <f>VLOOKUP($B15,'DASHBOARD 2'!$B$8:$N$37,MATCH('DASHBOARD 3'!H$8,'DASHBOARD 2'!$B$8:$N$8,0),0)</f>
        <v>87</v>
      </c>
      <c r="I15" s="1">
        <f>VLOOKUP($B15,'DASHBOARD 2'!$B$8:$N$37,MATCH('DASHBOARD 3'!I$8,'DASHBOARD 2'!$B$8:$N$8,0),0)</f>
        <v>71</v>
      </c>
      <c r="J15" s="1">
        <f>VLOOKUP($B15,'DASHBOARD 2'!$B$8:$N$37,MATCH('DASHBOARD 3'!J$8,'DASHBOARD 2'!$B$8:$N$8,0),0)</f>
        <v>89</v>
      </c>
      <c r="K15" s="1">
        <f>VLOOKUP($B15,'DASHBOARD 2'!$B$8:$N$37,MATCH('DASHBOARD 3'!K$8,'DASHBOARD 2'!$B$8:$N$8,0),0)</f>
        <v>97</v>
      </c>
      <c r="L15" s="1">
        <f>VLOOKUP($B15,'DASHBOARD 2'!$B$8:$N$37,MATCH('DASHBOARD 3'!L$8,'DASHBOARD 2'!$B$8:$N$8,0),0)</f>
        <v>70</v>
      </c>
      <c r="M15" s="1">
        <f>VLOOKUP($B15,'DASHBOARD 2'!$B$8:$N$37,MATCH('DASHBOARD 3'!M$8,'DASHBOARD 2'!$B$8:$N$8,0),0)</f>
        <v>70</v>
      </c>
      <c r="N15" s="1">
        <f>VLOOKUP($B15,'DASHBOARD 2'!$B$8:$N$37,MATCH('DASHBOARD 3'!N$8,'DASHBOARD 2'!$B$8:$N$8,0),0)</f>
        <v>72</v>
      </c>
    </row>
    <row r="16" spans="2:14" x14ac:dyDescent="0.25">
      <c r="B16" s="1" t="s">
        <v>30</v>
      </c>
      <c r="C16" s="1">
        <f>VLOOKUP($B16,'DASHBOARD 2'!$B$8:$N$37,MATCH('DASHBOARD 3'!C$8,'DASHBOARD 2'!$B$8:$N$8,0),0)</f>
        <v>75</v>
      </c>
      <c r="D16" s="1">
        <f>VLOOKUP($B16,'DASHBOARD 2'!$B$8:$N$37,MATCH('DASHBOARD 3'!D$8,'DASHBOARD 2'!$B$8:$N$8,0),0)</f>
        <v>93</v>
      </c>
      <c r="E16" s="1">
        <f>VLOOKUP($B16,'DASHBOARD 2'!$B$8:$N$37,MATCH('DASHBOARD 3'!E$8,'DASHBOARD 2'!$B$8:$N$8,0),0)</f>
        <v>86</v>
      </c>
      <c r="F16" s="1">
        <f>VLOOKUP($B16,'DASHBOARD 2'!$B$8:$N$37,MATCH('DASHBOARD 3'!F$8,'DASHBOARD 2'!$B$8:$N$8,0),0)</f>
        <v>91</v>
      </c>
      <c r="G16" s="1">
        <f>VLOOKUP($B16,'DASHBOARD 2'!$B$8:$N$37,MATCH('DASHBOARD 3'!G$8,'DASHBOARD 2'!$B$8:$N$8,0),0)</f>
        <v>79</v>
      </c>
      <c r="H16" s="1">
        <f>VLOOKUP($B16,'DASHBOARD 2'!$B$8:$N$37,MATCH('DASHBOARD 3'!H$8,'DASHBOARD 2'!$B$8:$N$8,0),0)</f>
        <v>86</v>
      </c>
      <c r="I16" s="1">
        <f>VLOOKUP($B16,'DASHBOARD 2'!$B$8:$N$37,MATCH('DASHBOARD 3'!I$8,'DASHBOARD 2'!$B$8:$N$8,0),0)</f>
        <v>91</v>
      </c>
      <c r="J16" s="1">
        <f>VLOOKUP($B16,'DASHBOARD 2'!$B$8:$N$37,MATCH('DASHBOARD 3'!J$8,'DASHBOARD 2'!$B$8:$N$8,0),0)</f>
        <v>75</v>
      </c>
      <c r="K16" s="1">
        <f>VLOOKUP($B16,'DASHBOARD 2'!$B$8:$N$37,MATCH('DASHBOARD 3'!K$8,'DASHBOARD 2'!$B$8:$N$8,0),0)</f>
        <v>99</v>
      </c>
      <c r="L16" s="1">
        <f>VLOOKUP($B16,'DASHBOARD 2'!$B$8:$N$37,MATCH('DASHBOARD 3'!L$8,'DASHBOARD 2'!$B$8:$N$8,0),0)</f>
        <v>75</v>
      </c>
      <c r="M16" s="1">
        <f>VLOOKUP($B16,'DASHBOARD 2'!$B$8:$N$37,MATCH('DASHBOARD 3'!M$8,'DASHBOARD 2'!$B$8:$N$8,0),0)</f>
        <v>73</v>
      </c>
      <c r="N16" s="1">
        <f>VLOOKUP($B16,'DASHBOARD 2'!$B$8:$N$37,MATCH('DASHBOARD 3'!N$8,'DASHBOARD 2'!$B$8:$N$8,0),0)</f>
        <v>75</v>
      </c>
    </row>
    <row r="17" spans="2:14" x14ac:dyDescent="0.25">
      <c r="B17" s="1" t="s">
        <v>28</v>
      </c>
      <c r="C17" s="1">
        <f>VLOOKUP($B17,'DASHBOARD 2'!$B$8:$N$37,MATCH('DASHBOARD 3'!C$8,'DASHBOARD 2'!$B$8:$N$8,0),0)</f>
        <v>64</v>
      </c>
      <c r="D17" s="1">
        <f>VLOOKUP($B17,'DASHBOARD 2'!$B$8:$N$37,MATCH('DASHBOARD 3'!D$8,'DASHBOARD 2'!$B$8:$N$8,0),0)</f>
        <v>93</v>
      </c>
      <c r="E17" s="1">
        <f>VLOOKUP($B17,'DASHBOARD 2'!$B$8:$N$37,MATCH('DASHBOARD 3'!E$8,'DASHBOARD 2'!$B$8:$N$8,0),0)</f>
        <v>85</v>
      </c>
      <c r="F17" s="1">
        <f>VLOOKUP($B17,'DASHBOARD 2'!$B$8:$N$37,MATCH('DASHBOARD 3'!F$8,'DASHBOARD 2'!$B$8:$N$8,0),0)</f>
        <v>69</v>
      </c>
      <c r="G17" s="1">
        <f>VLOOKUP($B17,'DASHBOARD 2'!$B$8:$N$37,MATCH('DASHBOARD 3'!G$8,'DASHBOARD 2'!$B$8:$N$8,0),0)</f>
        <v>90</v>
      </c>
      <c r="H17" s="1">
        <f>VLOOKUP($B17,'DASHBOARD 2'!$B$8:$N$37,MATCH('DASHBOARD 3'!H$8,'DASHBOARD 2'!$B$8:$N$8,0),0)</f>
        <v>79</v>
      </c>
      <c r="I17" s="1">
        <f>VLOOKUP($B17,'DASHBOARD 2'!$B$8:$N$37,MATCH('DASHBOARD 3'!I$8,'DASHBOARD 2'!$B$8:$N$8,0),0)</f>
        <v>98</v>
      </c>
      <c r="J17" s="1">
        <f>VLOOKUP($B17,'DASHBOARD 2'!$B$8:$N$37,MATCH('DASHBOARD 3'!J$8,'DASHBOARD 2'!$B$8:$N$8,0),0)</f>
        <v>98</v>
      </c>
      <c r="K17" s="1">
        <f>VLOOKUP($B17,'DASHBOARD 2'!$B$8:$N$37,MATCH('DASHBOARD 3'!K$8,'DASHBOARD 2'!$B$8:$N$8,0),0)</f>
        <v>84</v>
      </c>
      <c r="L17" s="1">
        <f>VLOOKUP($B17,'DASHBOARD 2'!$B$8:$N$37,MATCH('DASHBOARD 3'!L$8,'DASHBOARD 2'!$B$8:$N$8,0),0)</f>
        <v>71</v>
      </c>
      <c r="M17" s="1">
        <f>VLOOKUP($B17,'DASHBOARD 2'!$B$8:$N$37,MATCH('DASHBOARD 3'!M$8,'DASHBOARD 2'!$B$8:$N$8,0),0)</f>
        <v>87</v>
      </c>
      <c r="N17" s="1">
        <f>VLOOKUP($B17,'DASHBOARD 2'!$B$8:$N$37,MATCH('DASHBOARD 3'!N$8,'DASHBOARD 2'!$B$8:$N$8,0),0)</f>
        <v>79</v>
      </c>
    </row>
    <row r="18" spans="2:14" x14ac:dyDescent="0.25">
      <c r="B18" s="1" t="s">
        <v>29</v>
      </c>
      <c r="C18" s="1">
        <f>VLOOKUP($B18,'DASHBOARD 2'!$B$8:$N$37,MATCH('DASHBOARD 3'!C$8,'DASHBOARD 2'!$B$8:$N$8,0),0)</f>
        <v>63</v>
      </c>
      <c r="D18" s="1">
        <f>VLOOKUP($B18,'DASHBOARD 2'!$B$8:$N$37,MATCH('DASHBOARD 3'!D$8,'DASHBOARD 2'!$B$8:$N$8,0),0)</f>
        <v>65</v>
      </c>
      <c r="E18" s="1">
        <f>VLOOKUP($B18,'DASHBOARD 2'!$B$8:$N$37,MATCH('DASHBOARD 3'!E$8,'DASHBOARD 2'!$B$8:$N$8,0),0)</f>
        <v>87</v>
      </c>
      <c r="F18" s="1">
        <f>VLOOKUP($B18,'DASHBOARD 2'!$B$8:$N$37,MATCH('DASHBOARD 3'!F$8,'DASHBOARD 2'!$B$8:$N$8,0),0)</f>
        <v>78</v>
      </c>
      <c r="G18" s="1">
        <f>VLOOKUP($B18,'DASHBOARD 2'!$B$8:$N$37,MATCH('DASHBOARD 3'!G$8,'DASHBOARD 2'!$B$8:$N$8,0),0)</f>
        <v>69</v>
      </c>
      <c r="H18" s="1">
        <f>VLOOKUP($B18,'DASHBOARD 2'!$B$8:$N$37,MATCH('DASHBOARD 3'!H$8,'DASHBOARD 2'!$B$8:$N$8,0),0)</f>
        <v>94</v>
      </c>
      <c r="I18" s="1">
        <f>VLOOKUP($B18,'DASHBOARD 2'!$B$8:$N$37,MATCH('DASHBOARD 3'!I$8,'DASHBOARD 2'!$B$8:$N$8,0),0)</f>
        <v>79</v>
      </c>
      <c r="J18" s="1">
        <f>VLOOKUP($B18,'DASHBOARD 2'!$B$8:$N$37,MATCH('DASHBOARD 3'!J$8,'DASHBOARD 2'!$B$8:$N$8,0),0)</f>
        <v>80</v>
      </c>
      <c r="K18" s="1">
        <f>VLOOKUP($B18,'DASHBOARD 2'!$B$8:$N$37,MATCH('DASHBOARD 3'!K$8,'DASHBOARD 2'!$B$8:$N$8,0),0)</f>
        <v>68</v>
      </c>
      <c r="L18" s="1">
        <f>VLOOKUP($B18,'DASHBOARD 2'!$B$8:$N$37,MATCH('DASHBOARD 3'!L$8,'DASHBOARD 2'!$B$8:$N$8,0),0)</f>
        <v>79</v>
      </c>
      <c r="M18" s="1">
        <f>VLOOKUP($B18,'DASHBOARD 2'!$B$8:$N$37,MATCH('DASHBOARD 3'!M$8,'DASHBOARD 2'!$B$8:$N$8,0),0)</f>
        <v>76</v>
      </c>
      <c r="N18" s="1">
        <f>VLOOKUP($B18,'DASHBOARD 2'!$B$8:$N$37,MATCH('DASHBOARD 3'!N$8,'DASHBOARD 2'!$B$8:$N$8,0),0)</f>
        <v>83</v>
      </c>
    </row>
    <row r="19" spans="2:14" x14ac:dyDescent="0.25">
      <c r="B19" s="1" t="s">
        <v>32</v>
      </c>
      <c r="C19" s="1">
        <f>VLOOKUP($B19,'DASHBOARD 2'!$B$8:$N$37,MATCH('DASHBOARD 3'!C$8,'DASHBOARD 2'!$B$8:$N$8,0),0)</f>
        <v>82</v>
      </c>
      <c r="D19" s="1">
        <f>VLOOKUP($B19,'DASHBOARD 2'!$B$8:$N$37,MATCH('DASHBOARD 3'!D$8,'DASHBOARD 2'!$B$8:$N$8,0),0)</f>
        <v>82</v>
      </c>
      <c r="E19" s="1">
        <f>VLOOKUP($B19,'DASHBOARD 2'!$B$8:$N$37,MATCH('DASHBOARD 3'!E$8,'DASHBOARD 2'!$B$8:$N$8,0),0)</f>
        <v>62</v>
      </c>
      <c r="F19" s="1">
        <f>VLOOKUP($B19,'DASHBOARD 2'!$B$8:$N$37,MATCH('DASHBOARD 3'!F$8,'DASHBOARD 2'!$B$8:$N$8,0),0)</f>
        <v>69</v>
      </c>
      <c r="G19" s="1">
        <f>VLOOKUP($B19,'DASHBOARD 2'!$B$8:$N$37,MATCH('DASHBOARD 3'!G$8,'DASHBOARD 2'!$B$8:$N$8,0),0)</f>
        <v>78</v>
      </c>
      <c r="H19" s="1">
        <f>VLOOKUP($B19,'DASHBOARD 2'!$B$8:$N$37,MATCH('DASHBOARD 3'!H$8,'DASHBOARD 2'!$B$8:$N$8,0),0)</f>
        <v>89</v>
      </c>
      <c r="I19" s="1">
        <f>VLOOKUP($B19,'DASHBOARD 2'!$B$8:$N$37,MATCH('DASHBOARD 3'!I$8,'DASHBOARD 2'!$B$8:$N$8,0),0)</f>
        <v>91</v>
      </c>
      <c r="J19" s="1">
        <f>VLOOKUP($B19,'DASHBOARD 2'!$B$8:$N$37,MATCH('DASHBOARD 3'!J$8,'DASHBOARD 2'!$B$8:$N$8,0),0)</f>
        <v>78</v>
      </c>
      <c r="K19" s="1">
        <f>VLOOKUP($B19,'DASHBOARD 2'!$B$8:$N$37,MATCH('DASHBOARD 3'!K$8,'DASHBOARD 2'!$B$8:$N$8,0),0)</f>
        <v>62</v>
      </c>
      <c r="L19" s="1">
        <f>VLOOKUP($B19,'DASHBOARD 2'!$B$8:$N$37,MATCH('DASHBOARD 3'!L$8,'DASHBOARD 2'!$B$8:$N$8,0),0)</f>
        <v>73</v>
      </c>
      <c r="M19" s="1">
        <f>VLOOKUP($B19,'DASHBOARD 2'!$B$8:$N$37,MATCH('DASHBOARD 3'!M$8,'DASHBOARD 2'!$B$8:$N$8,0),0)</f>
        <v>86</v>
      </c>
      <c r="N19" s="1">
        <f>VLOOKUP($B19,'DASHBOARD 2'!$B$8:$N$37,MATCH('DASHBOARD 3'!N$8,'DASHBOARD 2'!$B$8:$N$8,0),0)</f>
        <v>92</v>
      </c>
    </row>
    <row r="20" spans="2:14" x14ac:dyDescent="0.25">
      <c r="B20" s="1" t="s">
        <v>41</v>
      </c>
      <c r="C20" s="1">
        <f>VLOOKUP($B20,'DASHBOARD 2'!$B$8:$N$37,MATCH('DASHBOARD 3'!C$8,'DASHBOARD 2'!$B$8:$N$8,0),0)</f>
        <v>93</v>
      </c>
      <c r="D20" s="1">
        <f>VLOOKUP($B20,'DASHBOARD 2'!$B$8:$N$37,MATCH('DASHBOARD 3'!D$8,'DASHBOARD 2'!$B$8:$N$8,0),0)</f>
        <v>88</v>
      </c>
      <c r="E20" s="1">
        <f>VLOOKUP($B20,'DASHBOARD 2'!$B$8:$N$37,MATCH('DASHBOARD 3'!E$8,'DASHBOARD 2'!$B$8:$N$8,0),0)</f>
        <v>95</v>
      </c>
      <c r="F20" s="1">
        <f>VLOOKUP($B20,'DASHBOARD 2'!$B$8:$N$37,MATCH('DASHBOARD 3'!F$8,'DASHBOARD 2'!$B$8:$N$8,0),0)</f>
        <v>66</v>
      </c>
      <c r="G20" s="1">
        <f>VLOOKUP($B20,'DASHBOARD 2'!$B$8:$N$37,MATCH('DASHBOARD 3'!G$8,'DASHBOARD 2'!$B$8:$N$8,0),0)</f>
        <v>62</v>
      </c>
      <c r="H20" s="1">
        <f>VLOOKUP($B20,'DASHBOARD 2'!$B$8:$N$37,MATCH('DASHBOARD 3'!H$8,'DASHBOARD 2'!$B$8:$N$8,0),0)</f>
        <v>75</v>
      </c>
      <c r="I20" s="1">
        <f>VLOOKUP($B20,'DASHBOARD 2'!$B$8:$N$37,MATCH('DASHBOARD 3'!I$8,'DASHBOARD 2'!$B$8:$N$8,0),0)</f>
        <v>84</v>
      </c>
      <c r="J20" s="1">
        <f>VLOOKUP($B20,'DASHBOARD 2'!$B$8:$N$37,MATCH('DASHBOARD 3'!J$8,'DASHBOARD 2'!$B$8:$N$8,0),0)</f>
        <v>68</v>
      </c>
      <c r="K20" s="1">
        <f>VLOOKUP($B20,'DASHBOARD 2'!$B$8:$N$37,MATCH('DASHBOARD 3'!K$8,'DASHBOARD 2'!$B$8:$N$8,0),0)</f>
        <v>61</v>
      </c>
      <c r="L20" s="1">
        <f>VLOOKUP($B20,'DASHBOARD 2'!$B$8:$N$37,MATCH('DASHBOARD 3'!L$8,'DASHBOARD 2'!$B$8:$N$8,0),0)</f>
        <v>88</v>
      </c>
      <c r="M20" s="1">
        <f>VLOOKUP($B20,'DASHBOARD 2'!$B$8:$N$37,MATCH('DASHBOARD 3'!M$8,'DASHBOARD 2'!$B$8:$N$8,0),0)</f>
        <v>83</v>
      </c>
      <c r="N20" s="1">
        <f>VLOOKUP($B20,'DASHBOARD 2'!$B$8:$N$37,MATCH('DASHBOARD 3'!N$8,'DASHBOARD 2'!$B$8:$N$8,0),0)</f>
        <v>89</v>
      </c>
    </row>
    <row r="21" spans="2:14" x14ac:dyDescent="0.25">
      <c r="B21" s="1" t="s">
        <v>42</v>
      </c>
      <c r="C21" s="1">
        <f>VLOOKUP($B21,'DASHBOARD 2'!$B$8:$N$37,MATCH('DASHBOARD 3'!C$8,'DASHBOARD 2'!$B$8:$N$8,0),0)</f>
        <v>64</v>
      </c>
      <c r="D21" s="1">
        <f>VLOOKUP($B21,'DASHBOARD 2'!$B$8:$N$37,MATCH('DASHBOARD 3'!D$8,'DASHBOARD 2'!$B$8:$N$8,0),0)</f>
        <v>67</v>
      </c>
      <c r="E21" s="1">
        <f>VLOOKUP($B21,'DASHBOARD 2'!$B$8:$N$37,MATCH('DASHBOARD 3'!E$8,'DASHBOARD 2'!$B$8:$N$8,0),0)</f>
        <v>60</v>
      </c>
      <c r="F21" s="1">
        <f>VLOOKUP($B21,'DASHBOARD 2'!$B$8:$N$37,MATCH('DASHBOARD 3'!F$8,'DASHBOARD 2'!$B$8:$N$8,0),0)</f>
        <v>86</v>
      </c>
      <c r="G21" s="1">
        <f>VLOOKUP($B21,'DASHBOARD 2'!$B$8:$N$37,MATCH('DASHBOARD 3'!G$8,'DASHBOARD 2'!$B$8:$N$8,0),0)</f>
        <v>94</v>
      </c>
      <c r="H21" s="1">
        <f>VLOOKUP($B21,'DASHBOARD 2'!$B$8:$N$37,MATCH('DASHBOARD 3'!H$8,'DASHBOARD 2'!$B$8:$N$8,0),0)</f>
        <v>87</v>
      </c>
      <c r="I21" s="1">
        <f>VLOOKUP($B21,'DASHBOARD 2'!$B$8:$N$37,MATCH('DASHBOARD 3'!I$8,'DASHBOARD 2'!$B$8:$N$8,0),0)</f>
        <v>90</v>
      </c>
      <c r="J21" s="1">
        <f>VLOOKUP($B21,'DASHBOARD 2'!$B$8:$N$37,MATCH('DASHBOARD 3'!J$8,'DASHBOARD 2'!$B$8:$N$8,0),0)</f>
        <v>89</v>
      </c>
      <c r="K21" s="1">
        <f>VLOOKUP($B21,'DASHBOARD 2'!$B$8:$N$37,MATCH('DASHBOARD 3'!K$8,'DASHBOARD 2'!$B$8:$N$8,0),0)</f>
        <v>85</v>
      </c>
      <c r="L21" s="1">
        <f>VLOOKUP($B21,'DASHBOARD 2'!$B$8:$N$37,MATCH('DASHBOARD 3'!L$8,'DASHBOARD 2'!$B$8:$N$8,0),0)</f>
        <v>80</v>
      </c>
      <c r="M21" s="1">
        <f>VLOOKUP($B21,'DASHBOARD 2'!$B$8:$N$37,MATCH('DASHBOARD 3'!M$8,'DASHBOARD 2'!$B$8:$N$8,0),0)</f>
        <v>60</v>
      </c>
      <c r="N21" s="1">
        <f>VLOOKUP($B21,'DASHBOARD 2'!$B$8:$N$37,MATCH('DASHBOARD 3'!N$8,'DASHBOARD 2'!$B$8:$N$8,0),0)</f>
        <v>84</v>
      </c>
    </row>
    <row r="22" spans="2:14" x14ac:dyDescent="0.25">
      <c r="B22" s="1" t="s">
        <v>36</v>
      </c>
      <c r="C22" s="1">
        <f>VLOOKUP($B22,'DASHBOARD 2'!$B$8:$N$37,MATCH('DASHBOARD 3'!C$8,'DASHBOARD 2'!$B$8:$N$8,0),0)</f>
        <v>68</v>
      </c>
      <c r="D22" s="1">
        <f>VLOOKUP($B22,'DASHBOARD 2'!$B$8:$N$37,MATCH('DASHBOARD 3'!D$8,'DASHBOARD 2'!$B$8:$N$8,0),0)</f>
        <v>91</v>
      </c>
      <c r="E22" s="1">
        <f>VLOOKUP($B22,'DASHBOARD 2'!$B$8:$N$37,MATCH('DASHBOARD 3'!E$8,'DASHBOARD 2'!$B$8:$N$8,0),0)</f>
        <v>65</v>
      </c>
      <c r="F22" s="1">
        <f>VLOOKUP($B22,'DASHBOARD 2'!$B$8:$N$37,MATCH('DASHBOARD 3'!F$8,'DASHBOARD 2'!$B$8:$N$8,0),0)</f>
        <v>75</v>
      </c>
      <c r="G22" s="1">
        <f>VLOOKUP($B22,'DASHBOARD 2'!$B$8:$N$37,MATCH('DASHBOARD 3'!G$8,'DASHBOARD 2'!$B$8:$N$8,0),0)</f>
        <v>95</v>
      </c>
      <c r="H22" s="1">
        <f>VLOOKUP($B22,'DASHBOARD 2'!$B$8:$N$37,MATCH('DASHBOARD 3'!H$8,'DASHBOARD 2'!$B$8:$N$8,0),0)</f>
        <v>74</v>
      </c>
      <c r="I22" s="1">
        <f>VLOOKUP($B22,'DASHBOARD 2'!$B$8:$N$37,MATCH('DASHBOARD 3'!I$8,'DASHBOARD 2'!$B$8:$N$8,0),0)</f>
        <v>61</v>
      </c>
      <c r="J22" s="1">
        <f>VLOOKUP($B22,'DASHBOARD 2'!$B$8:$N$37,MATCH('DASHBOARD 3'!J$8,'DASHBOARD 2'!$B$8:$N$8,0),0)</f>
        <v>90</v>
      </c>
      <c r="K22" s="1">
        <f>VLOOKUP($B22,'DASHBOARD 2'!$B$8:$N$37,MATCH('DASHBOARD 3'!K$8,'DASHBOARD 2'!$B$8:$N$8,0),0)</f>
        <v>76</v>
      </c>
      <c r="L22" s="1">
        <f>VLOOKUP($B22,'DASHBOARD 2'!$B$8:$N$37,MATCH('DASHBOARD 3'!L$8,'DASHBOARD 2'!$B$8:$N$8,0),0)</f>
        <v>60</v>
      </c>
      <c r="M22" s="1">
        <f>VLOOKUP($B22,'DASHBOARD 2'!$B$8:$N$37,MATCH('DASHBOARD 3'!M$8,'DASHBOARD 2'!$B$8:$N$8,0),0)</f>
        <v>80</v>
      </c>
      <c r="N22" s="1">
        <f>VLOOKUP($B22,'DASHBOARD 2'!$B$8:$N$37,MATCH('DASHBOARD 3'!N$8,'DASHBOARD 2'!$B$8:$N$8,0),0)</f>
        <v>78</v>
      </c>
    </row>
    <row r="23" spans="2:14" x14ac:dyDescent="0.25">
      <c r="B23" s="1" t="s">
        <v>31</v>
      </c>
      <c r="C23" s="1">
        <f>VLOOKUP($B23,'DASHBOARD 2'!$B$8:$N$37,MATCH('DASHBOARD 3'!C$8,'DASHBOARD 2'!$B$8:$N$8,0),0)</f>
        <v>64</v>
      </c>
      <c r="D23" s="1">
        <f>VLOOKUP($B23,'DASHBOARD 2'!$B$8:$N$37,MATCH('DASHBOARD 3'!D$8,'DASHBOARD 2'!$B$8:$N$8,0),0)</f>
        <v>62</v>
      </c>
      <c r="E23" s="1">
        <f>VLOOKUP($B23,'DASHBOARD 2'!$B$8:$N$37,MATCH('DASHBOARD 3'!E$8,'DASHBOARD 2'!$B$8:$N$8,0),0)</f>
        <v>83</v>
      </c>
      <c r="F23" s="1">
        <f>VLOOKUP($B23,'DASHBOARD 2'!$B$8:$N$37,MATCH('DASHBOARD 3'!F$8,'DASHBOARD 2'!$B$8:$N$8,0),0)</f>
        <v>79</v>
      </c>
      <c r="G23" s="1">
        <f>VLOOKUP($B23,'DASHBOARD 2'!$B$8:$N$37,MATCH('DASHBOARD 3'!G$8,'DASHBOARD 2'!$B$8:$N$8,0),0)</f>
        <v>92</v>
      </c>
      <c r="H23" s="1">
        <f>VLOOKUP($B23,'DASHBOARD 2'!$B$8:$N$37,MATCH('DASHBOARD 3'!H$8,'DASHBOARD 2'!$B$8:$N$8,0),0)</f>
        <v>81</v>
      </c>
      <c r="I23" s="1">
        <f>VLOOKUP($B23,'DASHBOARD 2'!$B$8:$N$37,MATCH('DASHBOARD 3'!I$8,'DASHBOARD 2'!$B$8:$N$8,0),0)</f>
        <v>71</v>
      </c>
      <c r="J23" s="1">
        <f>VLOOKUP($B23,'DASHBOARD 2'!$B$8:$N$37,MATCH('DASHBOARD 3'!J$8,'DASHBOARD 2'!$B$8:$N$8,0),0)</f>
        <v>96</v>
      </c>
      <c r="K23" s="1">
        <f>VLOOKUP($B23,'DASHBOARD 2'!$B$8:$N$37,MATCH('DASHBOARD 3'!K$8,'DASHBOARD 2'!$B$8:$N$8,0),0)</f>
        <v>62</v>
      </c>
      <c r="L23" s="1">
        <f>VLOOKUP($B23,'DASHBOARD 2'!$B$8:$N$37,MATCH('DASHBOARD 3'!L$8,'DASHBOARD 2'!$B$8:$N$8,0),0)</f>
        <v>75</v>
      </c>
      <c r="M23" s="1">
        <f>VLOOKUP($B23,'DASHBOARD 2'!$B$8:$N$37,MATCH('DASHBOARD 3'!M$8,'DASHBOARD 2'!$B$8:$N$8,0),0)</f>
        <v>71</v>
      </c>
      <c r="N23" s="1">
        <f>VLOOKUP($B23,'DASHBOARD 2'!$B$8:$N$37,MATCH('DASHBOARD 3'!N$8,'DASHBOARD 2'!$B$8:$N$8,0),0)</f>
        <v>69</v>
      </c>
    </row>
    <row r="24" spans="2:14" x14ac:dyDescent="0.25">
      <c r="B24" s="1" t="s">
        <v>30</v>
      </c>
      <c r="C24" s="1">
        <f>VLOOKUP($B24,'DASHBOARD 2'!$B$8:$N$37,MATCH('DASHBOARD 3'!C$8,'DASHBOARD 2'!$B$8:$N$8,0),0)</f>
        <v>75</v>
      </c>
      <c r="D24" s="1">
        <f>VLOOKUP($B24,'DASHBOARD 2'!$B$8:$N$37,MATCH('DASHBOARD 3'!D$8,'DASHBOARD 2'!$B$8:$N$8,0),0)</f>
        <v>93</v>
      </c>
      <c r="E24" s="1">
        <f>VLOOKUP($B24,'DASHBOARD 2'!$B$8:$N$37,MATCH('DASHBOARD 3'!E$8,'DASHBOARD 2'!$B$8:$N$8,0),0)</f>
        <v>86</v>
      </c>
      <c r="F24" s="1">
        <f>VLOOKUP($B24,'DASHBOARD 2'!$B$8:$N$37,MATCH('DASHBOARD 3'!F$8,'DASHBOARD 2'!$B$8:$N$8,0),0)</f>
        <v>91</v>
      </c>
      <c r="G24" s="1">
        <f>VLOOKUP($B24,'DASHBOARD 2'!$B$8:$N$37,MATCH('DASHBOARD 3'!G$8,'DASHBOARD 2'!$B$8:$N$8,0),0)</f>
        <v>79</v>
      </c>
      <c r="H24" s="1">
        <f>VLOOKUP($B24,'DASHBOARD 2'!$B$8:$N$37,MATCH('DASHBOARD 3'!H$8,'DASHBOARD 2'!$B$8:$N$8,0),0)</f>
        <v>86</v>
      </c>
      <c r="I24" s="1">
        <f>VLOOKUP($B24,'DASHBOARD 2'!$B$8:$N$37,MATCH('DASHBOARD 3'!I$8,'DASHBOARD 2'!$B$8:$N$8,0),0)</f>
        <v>91</v>
      </c>
      <c r="J24" s="1">
        <f>VLOOKUP($B24,'DASHBOARD 2'!$B$8:$N$37,MATCH('DASHBOARD 3'!J$8,'DASHBOARD 2'!$B$8:$N$8,0),0)</f>
        <v>75</v>
      </c>
      <c r="K24" s="1">
        <f>VLOOKUP($B24,'DASHBOARD 2'!$B$8:$N$37,MATCH('DASHBOARD 3'!K$8,'DASHBOARD 2'!$B$8:$N$8,0),0)</f>
        <v>99</v>
      </c>
      <c r="L24" s="1">
        <f>VLOOKUP($B24,'DASHBOARD 2'!$B$8:$N$37,MATCH('DASHBOARD 3'!L$8,'DASHBOARD 2'!$B$8:$N$8,0),0)</f>
        <v>75</v>
      </c>
      <c r="M24" s="1">
        <f>VLOOKUP($B24,'DASHBOARD 2'!$B$8:$N$37,MATCH('DASHBOARD 3'!M$8,'DASHBOARD 2'!$B$8:$N$8,0),0)</f>
        <v>73</v>
      </c>
      <c r="N24" s="1">
        <f>VLOOKUP($B24,'DASHBOARD 2'!$B$8:$N$37,MATCH('DASHBOARD 3'!N$8,'DASHBOARD 2'!$B$8:$N$8,0),0)</f>
        <v>75</v>
      </c>
    </row>
    <row r="25" spans="2:14" x14ac:dyDescent="0.25">
      <c r="B25" s="1" t="s">
        <v>40</v>
      </c>
      <c r="C25" s="1">
        <f>VLOOKUP($B25,'DASHBOARD 2'!$B$8:$N$37,MATCH('DASHBOARD 3'!C$8,'DASHBOARD 2'!$B$8:$N$8,0),0)</f>
        <v>65</v>
      </c>
      <c r="D25" s="1">
        <f>VLOOKUP($B25,'DASHBOARD 2'!$B$8:$N$37,MATCH('DASHBOARD 3'!D$8,'DASHBOARD 2'!$B$8:$N$8,0),0)</f>
        <v>61</v>
      </c>
      <c r="E25" s="1">
        <f>VLOOKUP($B25,'DASHBOARD 2'!$B$8:$N$37,MATCH('DASHBOARD 3'!E$8,'DASHBOARD 2'!$B$8:$N$8,0),0)</f>
        <v>88</v>
      </c>
      <c r="F25" s="1">
        <f>VLOOKUP($B25,'DASHBOARD 2'!$B$8:$N$37,MATCH('DASHBOARD 3'!F$8,'DASHBOARD 2'!$B$8:$N$8,0),0)</f>
        <v>99</v>
      </c>
      <c r="G25" s="1">
        <f>VLOOKUP($B25,'DASHBOARD 2'!$B$8:$N$37,MATCH('DASHBOARD 3'!G$8,'DASHBOARD 2'!$B$8:$N$8,0),0)</f>
        <v>64</v>
      </c>
      <c r="H25" s="1">
        <f>VLOOKUP($B25,'DASHBOARD 2'!$B$8:$N$37,MATCH('DASHBOARD 3'!H$8,'DASHBOARD 2'!$B$8:$N$8,0),0)</f>
        <v>80</v>
      </c>
      <c r="I25" s="1">
        <f>VLOOKUP($B25,'DASHBOARD 2'!$B$8:$N$37,MATCH('DASHBOARD 3'!I$8,'DASHBOARD 2'!$B$8:$N$8,0),0)</f>
        <v>67</v>
      </c>
      <c r="J25" s="1">
        <f>VLOOKUP($B25,'DASHBOARD 2'!$B$8:$N$37,MATCH('DASHBOARD 3'!J$8,'DASHBOARD 2'!$B$8:$N$8,0),0)</f>
        <v>61</v>
      </c>
      <c r="K25" s="1">
        <f>VLOOKUP($B25,'DASHBOARD 2'!$B$8:$N$37,MATCH('DASHBOARD 3'!K$8,'DASHBOARD 2'!$B$8:$N$8,0),0)</f>
        <v>73</v>
      </c>
      <c r="L25" s="1">
        <f>VLOOKUP($B25,'DASHBOARD 2'!$B$8:$N$37,MATCH('DASHBOARD 3'!L$8,'DASHBOARD 2'!$B$8:$N$8,0),0)</f>
        <v>87</v>
      </c>
      <c r="M25" s="1">
        <f>VLOOKUP($B25,'DASHBOARD 2'!$B$8:$N$37,MATCH('DASHBOARD 3'!M$8,'DASHBOARD 2'!$B$8:$N$8,0),0)</f>
        <v>96</v>
      </c>
      <c r="N25" s="1">
        <f>VLOOKUP($B25,'DASHBOARD 2'!$B$8:$N$37,MATCH('DASHBOARD 3'!N$8,'DASHBOARD 2'!$B$8:$N$8,0),0)</f>
        <v>68</v>
      </c>
    </row>
    <row r="26" spans="2:14" x14ac:dyDescent="0.25">
      <c r="B26" s="1" t="s">
        <v>43</v>
      </c>
      <c r="C26" s="1">
        <f>VLOOKUP($B26,'DASHBOARD 2'!$B$8:$N$37,MATCH('DASHBOARD 3'!C$8,'DASHBOARD 2'!$B$8:$N$8,0),0)</f>
        <v>62</v>
      </c>
      <c r="D26" s="1">
        <f>VLOOKUP($B26,'DASHBOARD 2'!$B$8:$N$37,MATCH('DASHBOARD 3'!D$8,'DASHBOARD 2'!$B$8:$N$8,0),0)</f>
        <v>86</v>
      </c>
      <c r="E26" s="1">
        <f>VLOOKUP($B26,'DASHBOARD 2'!$B$8:$N$37,MATCH('DASHBOARD 3'!E$8,'DASHBOARD 2'!$B$8:$N$8,0),0)</f>
        <v>66</v>
      </c>
      <c r="F26" s="1">
        <f>VLOOKUP($B26,'DASHBOARD 2'!$B$8:$N$37,MATCH('DASHBOARD 3'!F$8,'DASHBOARD 2'!$B$8:$N$8,0),0)</f>
        <v>77</v>
      </c>
      <c r="G26" s="1">
        <f>VLOOKUP($B26,'DASHBOARD 2'!$B$8:$N$37,MATCH('DASHBOARD 3'!G$8,'DASHBOARD 2'!$B$8:$N$8,0),0)</f>
        <v>82</v>
      </c>
      <c r="H26" s="1">
        <f>VLOOKUP($B26,'DASHBOARD 2'!$B$8:$N$37,MATCH('DASHBOARD 3'!H$8,'DASHBOARD 2'!$B$8:$N$8,0),0)</f>
        <v>87</v>
      </c>
      <c r="I26" s="1">
        <f>VLOOKUP($B26,'DASHBOARD 2'!$B$8:$N$37,MATCH('DASHBOARD 3'!I$8,'DASHBOARD 2'!$B$8:$N$8,0),0)</f>
        <v>71</v>
      </c>
      <c r="J26" s="1">
        <f>VLOOKUP($B26,'DASHBOARD 2'!$B$8:$N$37,MATCH('DASHBOARD 3'!J$8,'DASHBOARD 2'!$B$8:$N$8,0),0)</f>
        <v>89</v>
      </c>
      <c r="K26" s="1">
        <f>VLOOKUP($B26,'DASHBOARD 2'!$B$8:$N$37,MATCH('DASHBOARD 3'!K$8,'DASHBOARD 2'!$B$8:$N$8,0),0)</f>
        <v>97</v>
      </c>
      <c r="L26" s="1">
        <f>VLOOKUP($B26,'DASHBOARD 2'!$B$8:$N$37,MATCH('DASHBOARD 3'!L$8,'DASHBOARD 2'!$B$8:$N$8,0),0)</f>
        <v>70</v>
      </c>
      <c r="M26" s="1">
        <f>VLOOKUP($B26,'DASHBOARD 2'!$B$8:$N$37,MATCH('DASHBOARD 3'!M$8,'DASHBOARD 2'!$B$8:$N$8,0),0)</f>
        <v>70</v>
      </c>
      <c r="N26" s="1">
        <f>VLOOKUP($B26,'DASHBOARD 2'!$B$8:$N$37,MATCH('DASHBOARD 3'!N$8,'DASHBOARD 2'!$B$8:$N$8,0),0)</f>
        <v>72</v>
      </c>
    </row>
    <row r="27" spans="2:14" x14ac:dyDescent="0.25">
      <c r="B27" s="1" t="s">
        <v>33</v>
      </c>
      <c r="C27" s="1">
        <f>VLOOKUP($B27,'DASHBOARD 2'!$B$8:$N$37,MATCH('DASHBOARD 3'!C$8,'DASHBOARD 2'!$B$8:$N$8,0),0)</f>
        <v>68</v>
      </c>
      <c r="D27" s="1">
        <f>VLOOKUP($B27,'DASHBOARD 2'!$B$8:$N$37,MATCH('DASHBOARD 3'!D$8,'DASHBOARD 2'!$B$8:$N$8,0),0)</f>
        <v>82</v>
      </c>
      <c r="E27" s="1">
        <f>VLOOKUP($B27,'DASHBOARD 2'!$B$8:$N$37,MATCH('DASHBOARD 3'!E$8,'DASHBOARD 2'!$B$8:$N$8,0),0)</f>
        <v>76</v>
      </c>
      <c r="F27" s="1">
        <f>VLOOKUP($B27,'DASHBOARD 2'!$B$8:$N$37,MATCH('DASHBOARD 3'!F$8,'DASHBOARD 2'!$B$8:$N$8,0),0)</f>
        <v>77</v>
      </c>
      <c r="G27" s="1">
        <f>VLOOKUP($B27,'DASHBOARD 2'!$B$8:$N$37,MATCH('DASHBOARD 3'!G$8,'DASHBOARD 2'!$B$8:$N$8,0),0)</f>
        <v>82</v>
      </c>
      <c r="H27" s="1">
        <f>VLOOKUP($B27,'DASHBOARD 2'!$B$8:$N$37,MATCH('DASHBOARD 3'!H$8,'DASHBOARD 2'!$B$8:$N$8,0),0)</f>
        <v>96</v>
      </c>
      <c r="I27" s="1">
        <f>VLOOKUP($B27,'DASHBOARD 2'!$B$8:$N$37,MATCH('DASHBOARD 3'!I$8,'DASHBOARD 2'!$B$8:$N$8,0),0)</f>
        <v>80</v>
      </c>
      <c r="J27" s="1">
        <f>VLOOKUP($B27,'DASHBOARD 2'!$B$8:$N$37,MATCH('DASHBOARD 3'!J$8,'DASHBOARD 2'!$B$8:$N$8,0),0)</f>
        <v>70</v>
      </c>
      <c r="K27" s="1">
        <f>VLOOKUP($B27,'DASHBOARD 2'!$B$8:$N$37,MATCH('DASHBOARD 3'!K$8,'DASHBOARD 2'!$B$8:$N$8,0),0)</f>
        <v>82</v>
      </c>
      <c r="L27" s="1">
        <f>VLOOKUP($B27,'DASHBOARD 2'!$B$8:$N$37,MATCH('DASHBOARD 3'!L$8,'DASHBOARD 2'!$B$8:$N$8,0),0)</f>
        <v>80</v>
      </c>
      <c r="M27" s="1">
        <f>VLOOKUP($B27,'DASHBOARD 2'!$B$8:$N$37,MATCH('DASHBOARD 3'!M$8,'DASHBOARD 2'!$B$8:$N$8,0),0)</f>
        <v>86</v>
      </c>
      <c r="N27" s="1">
        <f>VLOOKUP($B27,'DASHBOARD 2'!$B$8:$N$37,MATCH('DASHBOARD 3'!N$8,'DASHBOARD 2'!$B$8:$N$8,0),0)</f>
        <v>78</v>
      </c>
    </row>
    <row r="28" spans="2:14" x14ac:dyDescent="0.25">
      <c r="B28" s="1" t="s">
        <v>37</v>
      </c>
      <c r="C28" s="1">
        <f>VLOOKUP($B28,'DASHBOARD 2'!$B$8:$N$37,MATCH('DASHBOARD 3'!C$8,'DASHBOARD 2'!$B$8:$N$8,0),0)</f>
        <v>90</v>
      </c>
      <c r="D28" s="1">
        <f>VLOOKUP($B28,'DASHBOARD 2'!$B$8:$N$37,MATCH('DASHBOARD 3'!D$8,'DASHBOARD 2'!$B$8:$N$8,0),0)</f>
        <v>82</v>
      </c>
      <c r="E28" s="1">
        <f>VLOOKUP($B28,'DASHBOARD 2'!$B$8:$N$37,MATCH('DASHBOARD 3'!E$8,'DASHBOARD 2'!$B$8:$N$8,0),0)</f>
        <v>96</v>
      </c>
      <c r="F28" s="1">
        <f>VLOOKUP($B28,'DASHBOARD 2'!$B$8:$N$37,MATCH('DASHBOARD 3'!F$8,'DASHBOARD 2'!$B$8:$N$8,0),0)</f>
        <v>85</v>
      </c>
      <c r="G28" s="1">
        <f>VLOOKUP($B28,'DASHBOARD 2'!$B$8:$N$37,MATCH('DASHBOARD 3'!G$8,'DASHBOARD 2'!$B$8:$N$8,0),0)</f>
        <v>60</v>
      </c>
      <c r="H28" s="1">
        <f>VLOOKUP($B28,'DASHBOARD 2'!$B$8:$N$37,MATCH('DASHBOARD 3'!H$8,'DASHBOARD 2'!$B$8:$N$8,0),0)</f>
        <v>95</v>
      </c>
      <c r="I28" s="1">
        <f>VLOOKUP($B28,'DASHBOARD 2'!$B$8:$N$37,MATCH('DASHBOARD 3'!I$8,'DASHBOARD 2'!$B$8:$N$8,0),0)</f>
        <v>81</v>
      </c>
      <c r="J28" s="1">
        <f>VLOOKUP($B28,'DASHBOARD 2'!$B$8:$N$37,MATCH('DASHBOARD 3'!J$8,'DASHBOARD 2'!$B$8:$N$8,0),0)</f>
        <v>85</v>
      </c>
      <c r="K28" s="1">
        <f>VLOOKUP($B28,'DASHBOARD 2'!$B$8:$N$37,MATCH('DASHBOARD 3'!K$8,'DASHBOARD 2'!$B$8:$N$8,0),0)</f>
        <v>65</v>
      </c>
      <c r="L28" s="1">
        <f>VLOOKUP($B28,'DASHBOARD 2'!$B$8:$N$37,MATCH('DASHBOARD 3'!L$8,'DASHBOARD 2'!$B$8:$N$8,0),0)</f>
        <v>66</v>
      </c>
      <c r="M28" s="1">
        <f>VLOOKUP($B28,'DASHBOARD 2'!$B$8:$N$37,MATCH('DASHBOARD 3'!M$8,'DASHBOARD 2'!$B$8:$N$8,0),0)</f>
        <v>96</v>
      </c>
      <c r="N28" s="1">
        <f>VLOOKUP($B28,'DASHBOARD 2'!$B$8:$N$37,MATCH('DASHBOARD 3'!N$8,'DASHBOARD 2'!$B$8:$N$8,0),0)</f>
        <v>96</v>
      </c>
    </row>
    <row r="29" spans="2:14" x14ac:dyDescent="0.25">
      <c r="B29" s="1" t="s">
        <v>44</v>
      </c>
      <c r="C29" s="1">
        <f>VLOOKUP($B29,'DASHBOARD 2'!$B$8:$N$37,MATCH('DASHBOARD 3'!C$8,'DASHBOARD 2'!$B$8:$N$8,0),0)</f>
        <v>83</v>
      </c>
      <c r="D29" s="1">
        <f>VLOOKUP($B29,'DASHBOARD 2'!$B$8:$N$37,MATCH('DASHBOARD 3'!D$8,'DASHBOARD 2'!$B$8:$N$8,0),0)</f>
        <v>99</v>
      </c>
      <c r="E29" s="1">
        <f>VLOOKUP($B29,'DASHBOARD 2'!$B$8:$N$37,MATCH('DASHBOARD 3'!E$8,'DASHBOARD 2'!$B$8:$N$8,0),0)</f>
        <v>68</v>
      </c>
      <c r="F29" s="1">
        <f>VLOOKUP($B29,'DASHBOARD 2'!$B$8:$N$37,MATCH('DASHBOARD 3'!F$8,'DASHBOARD 2'!$B$8:$N$8,0),0)</f>
        <v>86</v>
      </c>
      <c r="G29" s="1">
        <f>VLOOKUP($B29,'DASHBOARD 2'!$B$8:$N$37,MATCH('DASHBOARD 3'!G$8,'DASHBOARD 2'!$B$8:$N$8,0),0)</f>
        <v>87</v>
      </c>
      <c r="H29" s="1">
        <f>VLOOKUP($B29,'DASHBOARD 2'!$B$8:$N$37,MATCH('DASHBOARD 3'!H$8,'DASHBOARD 2'!$B$8:$N$8,0),0)</f>
        <v>80</v>
      </c>
      <c r="I29" s="1">
        <f>VLOOKUP($B29,'DASHBOARD 2'!$B$8:$N$37,MATCH('DASHBOARD 3'!I$8,'DASHBOARD 2'!$B$8:$N$8,0),0)</f>
        <v>89</v>
      </c>
      <c r="J29" s="1">
        <f>VLOOKUP($B29,'DASHBOARD 2'!$B$8:$N$37,MATCH('DASHBOARD 3'!J$8,'DASHBOARD 2'!$B$8:$N$8,0),0)</f>
        <v>78</v>
      </c>
      <c r="K29" s="1">
        <f>VLOOKUP($B29,'DASHBOARD 2'!$B$8:$N$37,MATCH('DASHBOARD 3'!K$8,'DASHBOARD 2'!$B$8:$N$8,0),0)</f>
        <v>93</v>
      </c>
      <c r="L29" s="1">
        <f>VLOOKUP($B29,'DASHBOARD 2'!$B$8:$N$37,MATCH('DASHBOARD 3'!L$8,'DASHBOARD 2'!$B$8:$N$8,0),0)</f>
        <v>79</v>
      </c>
      <c r="M29" s="1">
        <f>VLOOKUP($B29,'DASHBOARD 2'!$B$8:$N$37,MATCH('DASHBOARD 3'!M$8,'DASHBOARD 2'!$B$8:$N$8,0),0)</f>
        <v>60</v>
      </c>
      <c r="N29" s="1">
        <f>VLOOKUP($B29,'DASHBOARD 2'!$B$8:$N$37,MATCH('DASHBOARD 3'!N$8,'DASHBOARD 2'!$B$8:$N$8,0),0)</f>
        <v>66</v>
      </c>
    </row>
    <row r="30" spans="2:14" x14ac:dyDescent="0.25">
      <c r="B30" s="1" t="s">
        <v>138</v>
      </c>
      <c r="C30" s="1">
        <f>VLOOKUP($B30,'DASHBOARD 2'!$B$8:$N$37,MATCH('DASHBOARD 3'!C$8,'DASHBOARD 2'!$B$8:$N$8,0),0)</f>
        <v>92</v>
      </c>
      <c r="D30" s="1">
        <f>VLOOKUP($B30,'DASHBOARD 2'!$B$8:$N$37,MATCH('DASHBOARD 3'!D$8,'DASHBOARD 2'!$B$8:$N$8,0),0)</f>
        <v>86</v>
      </c>
      <c r="E30" s="1">
        <f>VLOOKUP($B30,'DASHBOARD 2'!$B$8:$N$37,MATCH('DASHBOARD 3'!E$8,'DASHBOARD 2'!$B$8:$N$8,0),0)</f>
        <v>73</v>
      </c>
      <c r="F30" s="1">
        <f>VLOOKUP($B30,'DASHBOARD 2'!$B$8:$N$37,MATCH('DASHBOARD 3'!F$8,'DASHBOARD 2'!$B$8:$N$8,0),0)</f>
        <v>92</v>
      </c>
      <c r="G30" s="1">
        <f>VLOOKUP($B30,'DASHBOARD 2'!$B$8:$N$37,MATCH('DASHBOARD 3'!G$8,'DASHBOARD 2'!$B$8:$N$8,0),0)</f>
        <v>61</v>
      </c>
      <c r="H30" s="1">
        <f>VLOOKUP($B30,'DASHBOARD 2'!$B$8:$N$37,MATCH('DASHBOARD 3'!H$8,'DASHBOARD 2'!$B$8:$N$8,0),0)</f>
        <v>79</v>
      </c>
      <c r="I30" s="1">
        <f>VLOOKUP($B30,'DASHBOARD 2'!$B$8:$N$37,MATCH('DASHBOARD 3'!I$8,'DASHBOARD 2'!$B$8:$N$8,0),0)</f>
        <v>77</v>
      </c>
      <c r="J30" s="1">
        <f>VLOOKUP($B30,'DASHBOARD 2'!$B$8:$N$37,MATCH('DASHBOARD 3'!J$8,'DASHBOARD 2'!$B$8:$N$8,0),0)</f>
        <v>64</v>
      </c>
      <c r="K30" s="1">
        <f>VLOOKUP($B30,'DASHBOARD 2'!$B$8:$N$37,MATCH('DASHBOARD 3'!K$8,'DASHBOARD 2'!$B$8:$N$8,0),0)</f>
        <v>100</v>
      </c>
      <c r="L30" s="1">
        <f>VLOOKUP($B30,'DASHBOARD 2'!$B$8:$N$37,MATCH('DASHBOARD 3'!L$8,'DASHBOARD 2'!$B$8:$N$8,0),0)</f>
        <v>81</v>
      </c>
      <c r="M30" s="1">
        <f>VLOOKUP($B30,'DASHBOARD 2'!$B$8:$N$37,MATCH('DASHBOARD 3'!M$8,'DASHBOARD 2'!$B$8:$N$8,0),0)</f>
        <v>63</v>
      </c>
      <c r="N30" s="1">
        <f>VLOOKUP($B30,'DASHBOARD 2'!$B$8:$N$37,MATCH('DASHBOARD 3'!N$8,'DASHBOARD 2'!$B$8:$N$8,0),0)</f>
        <v>79</v>
      </c>
    </row>
    <row r="31" spans="2:14" x14ac:dyDescent="0.25">
      <c r="B31" s="1" t="s">
        <v>28</v>
      </c>
      <c r="C31" s="1">
        <f>VLOOKUP($B31,'DASHBOARD 2'!$B$8:$N$37,MATCH('DASHBOARD 3'!C$8,'DASHBOARD 2'!$B$8:$N$8,0),0)</f>
        <v>64</v>
      </c>
      <c r="D31" s="1">
        <f>VLOOKUP($B31,'DASHBOARD 2'!$B$8:$N$37,MATCH('DASHBOARD 3'!D$8,'DASHBOARD 2'!$B$8:$N$8,0),0)</f>
        <v>93</v>
      </c>
      <c r="E31" s="1">
        <f>VLOOKUP($B31,'DASHBOARD 2'!$B$8:$N$37,MATCH('DASHBOARD 3'!E$8,'DASHBOARD 2'!$B$8:$N$8,0),0)</f>
        <v>85</v>
      </c>
      <c r="F31" s="1">
        <f>VLOOKUP($B31,'DASHBOARD 2'!$B$8:$N$37,MATCH('DASHBOARD 3'!F$8,'DASHBOARD 2'!$B$8:$N$8,0),0)</f>
        <v>69</v>
      </c>
      <c r="G31" s="1">
        <f>VLOOKUP($B31,'DASHBOARD 2'!$B$8:$N$37,MATCH('DASHBOARD 3'!G$8,'DASHBOARD 2'!$B$8:$N$8,0),0)</f>
        <v>90</v>
      </c>
      <c r="H31" s="1">
        <f>VLOOKUP($B31,'DASHBOARD 2'!$B$8:$N$37,MATCH('DASHBOARD 3'!H$8,'DASHBOARD 2'!$B$8:$N$8,0),0)</f>
        <v>79</v>
      </c>
      <c r="I31" s="1">
        <f>VLOOKUP($B31,'DASHBOARD 2'!$B$8:$N$37,MATCH('DASHBOARD 3'!I$8,'DASHBOARD 2'!$B$8:$N$8,0),0)</f>
        <v>98</v>
      </c>
      <c r="J31" s="1">
        <f>VLOOKUP($B31,'DASHBOARD 2'!$B$8:$N$37,MATCH('DASHBOARD 3'!J$8,'DASHBOARD 2'!$B$8:$N$8,0),0)</f>
        <v>98</v>
      </c>
      <c r="K31" s="1">
        <f>VLOOKUP($B31,'DASHBOARD 2'!$B$8:$N$37,MATCH('DASHBOARD 3'!K$8,'DASHBOARD 2'!$B$8:$N$8,0),0)</f>
        <v>84</v>
      </c>
      <c r="L31" s="1">
        <f>VLOOKUP($B31,'DASHBOARD 2'!$B$8:$N$37,MATCH('DASHBOARD 3'!L$8,'DASHBOARD 2'!$B$8:$N$8,0),0)</f>
        <v>71</v>
      </c>
      <c r="M31" s="1">
        <f>VLOOKUP($B31,'DASHBOARD 2'!$B$8:$N$37,MATCH('DASHBOARD 3'!M$8,'DASHBOARD 2'!$B$8:$N$8,0),0)</f>
        <v>87</v>
      </c>
      <c r="N31" s="1">
        <f>VLOOKUP($B31,'DASHBOARD 2'!$B$8:$N$37,MATCH('DASHBOARD 3'!N$8,'DASHBOARD 2'!$B$8:$N$8,0),0)</f>
        <v>79</v>
      </c>
    </row>
    <row r="32" spans="2:14" x14ac:dyDescent="0.25">
      <c r="B32" s="1" t="s">
        <v>31</v>
      </c>
      <c r="C32" s="1">
        <f>VLOOKUP($B32,'DASHBOARD 2'!$B$8:$N$37,MATCH('DASHBOARD 3'!C$8,'DASHBOARD 2'!$B$8:$N$8,0),0)</f>
        <v>64</v>
      </c>
      <c r="D32" s="1">
        <f>VLOOKUP($B32,'DASHBOARD 2'!$B$8:$N$37,MATCH('DASHBOARD 3'!D$8,'DASHBOARD 2'!$B$8:$N$8,0),0)</f>
        <v>62</v>
      </c>
      <c r="E32" s="1">
        <f>VLOOKUP($B32,'DASHBOARD 2'!$B$8:$N$37,MATCH('DASHBOARD 3'!E$8,'DASHBOARD 2'!$B$8:$N$8,0),0)</f>
        <v>83</v>
      </c>
      <c r="F32" s="1">
        <f>VLOOKUP($B32,'DASHBOARD 2'!$B$8:$N$37,MATCH('DASHBOARD 3'!F$8,'DASHBOARD 2'!$B$8:$N$8,0),0)</f>
        <v>79</v>
      </c>
      <c r="G32" s="1">
        <f>VLOOKUP($B32,'DASHBOARD 2'!$B$8:$N$37,MATCH('DASHBOARD 3'!G$8,'DASHBOARD 2'!$B$8:$N$8,0),0)</f>
        <v>92</v>
      </c>
      <c r="H32" s="1">
        <f>VLOOKUP($B32,'DASHBOARD 2'!$B$8:$N$37,MATCH('DASHBOARD 3'!H$8,'DASHBOARD 2'!$B$8:$N$8,0),0)</f>
        <v>81</v>
      </c>
      <c r="I32" s="1">
        <f>VLOOKUP($B32,'DASHBOARD 2'!$B$8:$N$37,MATCH('DASHBOARD 3'!I$8,'DASHBOARD 2'!$B$8:$N$8,0),0)</f>
        <v>71</v>
      </c>
      <c r="J32" s="1">
        <f>VLOOKUP($B32,'DASHBOARD 2'!$B$8:$N$37,MATCH('DASHBOARD 3'!J$8,'DASHBOARD 2'!$B$8:$N$8,0),0)</f>
        <v>96</v>
      </c>
      <c r="K32" s="1">
        <f>VLOOKUP($B32,'DASHBOARD 2'!$B$8:$N$37,MATCH('DASHBOARD 3'!K$8,'DASHBOARD 2'!$B$8:$N$8,0),0)</f>
        <v>62</v>
      </c>
      <c r="L32" s="1">
        <f>VLOOKUP($B32,'DASHBOARD 2'!$B$8:$N$37,MATCH('DASHBOARD 3'!L$8,'DASHBOARD 2'!$B$8:$N$8,0),0)</f>
        <v>75</v>
      </c>
      <c r="M32" s="1">
        <f>VLOOKUP($B32,'DASHBOARD 2'!$B$8:$N$37,MATCH('DASHBOARD 3'!M$8,'DASHBOARD 2'!$B$8:$N$8,0),0)</f>
        <v>71</v>
      </c>
      <c r="N32" s="1">
        <f>VLOOKUP($B32,'DASHBOARD 2'!$B$8:$N$37,MATCH('DASHBOARD 3'!N$8,'DASHBOARD 2'!$B$8:$N$8,0),0)</f>
        <v>69</v>
      </c>
    </row>
    <row r="33" spans="2:14" x14ac:dyDescent="0.25">
      <c r="B33" s="1" t="s">
        <v>46</v>
      </c>
      <c r="C33" s="1">
        <f>VLOOKUP($B33,'DASHBOARD 2'!$B$8:$N$37,MATCH('DASHBOARD 3'!C$8,'DASHBOARD 2'!$B$8:$N$8,0),0)</f>
        <v>97</v>
      </c>
      <c r="D33" s="1">
        <f>VLOOKUP($B33,'DASHBOARD 2'!$B$8:$N$37,MATCH('DASHBOARD 3'!D$8,'DASHBOARD 2'!$B$8:$N$8,0),0)</f>
        <v>86</v>
      </c>
      <c r="E33" s="1">
        <f>VLOOKUP($B33,'DASHBOARD 2'!$B$8:$N$37,MATCH('DASHBOARD 3'!E$8,'DASHBOARD 2'!$B$8:$N$8,0),0)</f>
        <v>82</v>
      </c>
      <c r="F33" s="1">
        <f>VLOOKUP($B33,'DASHBOARD 2'!$B$8:$N$37,MATCH('DASHBOARD 3'!F$8,'DASHBOARD 2'!$B$8:$N$8,0),0)</f>
        <v>76</v>
      </c>
      <c r="G33" s="1">
        <f>VLOOKUP($B33,'DASHBOARD 2'!$B$8:$N$37,MATCH('DASHBOARD 3'!G$8,'DASHBOARD 2'!$B$8:$N$8,0),0)</f>
        <v>85</v>
      </c>
      <c r="H33" s="1">
        <f>VLOOKUP($B33,'DASHBOARD 2'!$B$8:$N$37,MATCH('DASHBOARD 3'!H$8,'DASHBOARD 2'!$B$8:$N$8,0),0)</f>
        <v>66</v>
      </c>
      <c r="I33" s="1">
        <f>VLOOKUP($B33,'DASHBOARD 2'!$B$8:$N$37,MATCH('DASHBOARD 3'!I$8,'DASHBOARD 2'!$B$8:$N$8,0),0)</f>
        <v>94</v>
      </c>
      <c r="J33" s="1">
        <f>VLOOKUP($B33,'DASHBOARD 2'!$B$8:$N$37,MATCH('DASHBOARD 3'!J$8,'DASHBOARD 2'!$B$8:$N$8,0),0)</f>
        <v>98</v>
      </c>
      <c r="K33" s="1">
        <f>VLOOKUP($B33,'DASHBOARD 2'!$B$8:$N$37,MATCH('DASHBOARD 3'!K$8,'DASHBOARD 2'!$B$8:$N$8,0),0)</f>
        <v>90</v>
      </c>
      <c r="L33" s="1">
        <f>VLOOKUP($B33,'DASHBOARD 2'!$B$8:$N$37,MATCH('DASHBOARD 3'!L$8,'DASHBOARD 2'!$B$8:$N$8,0),0)</f>
        <v>66</v>
      </c>
      <c r="M33" s="1">
        <f>VLOOKUP($B33,'DASHBOARD 2'!$B$8:$N$37,MATCH('DASHBOARD 3'!M$8,'DASHBOARD 2'!$B$8:$N$8,0),0)</f>
        <v>94</v>
      </c>
      <c r="N33" s="1">
        <f>VLOOKUP($B33,'DASHBOARD 2'!$B$8:$N$37,MATCH('DASHBOARD 3'!N$8,'DASHBOARD 2'!$B$8:$N$8,0),0)</f>
        <v>66</v>
      </c>
    </row>
    <row r="34" spans="2:14" x14ac:dyDescent="0.25">
      <c r="B34" s="1" t="s">
        <v>35</v>
      </c>
      <c r="C34" s="1">
        <f>VLOOKUP($B34,'DASHBOARD 2'!$B$8:$N$37,MATCH('DASHBOARD 3'!C$8,'DASHBOARD 2'!$B$8:$N$8,0),0)</f>
        <v>75</v>
      </c>
      <c r="D34" s="1">
        <f>VLOOKUP($B34,'DASHBOARD 2'!$B$8:$N$37,MATCH('DASHBOARD 3'!D$8,'DASHBOARD 2'!$B$8:$N$8,0),0)</f>
        <v>79</v>
      </c>
      <c r="E34" s="1">
        <f>VLOOKUP($B34,'DASHBOARD 2'!$B$8:$N$37,MATCH('DASHBOARD 3'!E$8,'DASHBOARD 2'!$B$8:$N$8,0),0)</f>
        <v>86</v>
      </c>
      <c r="F34" s="1">
        <f>VLOOKUP($B34,'DASHBOARD 2'!$B$8:$N$37,MATCH('DASHBOARD 3'!F$8,'DASHBOARD 2'!$B$8:$N$8,0),0)</f>
        <v>84</v>
      </c>
      <c r="G34" s="1">
        <f>VLOOKUP($B34,'DASHBOARD 2'!$B$8:$N$37,MATCH('DASHBOARD 3'!G$8,'DASHBOARD 2'!$B$8:$N$8,0),0)</f>
        <v>76</v>
      </c>
      <c r="H34" s="1">
        <f>VLOOKUP($B34,'DASHBOARD 2'!$B$8:$N$37,MATCH('DASHBOARD 3'!H$8,'DASHBOARD 2'!$B$8:$N$8,0),0)</f>
        <v>64</v>
      </c>
      <c r="I34" s="1">
        <f>VLOOKUP($B34,'DASHBOARD 2'!$B$8:$N$37,MATCH('DASHBOARD 3'!I$8,'DASHBOARD 2'!$B$8:$N$8,0),0)</f>
        <v>70</v>
      </c>
      <c r="J34" s="1">
        <f>VLOOKUP($B34,'DASHBOARD 2'!$B$8:$N$37,MATCH('DASHBOARD 3'!J$8,'DASHBOARD 2'!$B$8:$N$8,0),0)</f>
        <v>69</v>
      </c>
      <c r="K34" s="1">
        <f>VLOOKUP($B34,'DASHBOARD 2'!$B$8:$N$37,MATCH('DASHBOARD 3'!K$8,'DASHBOARD 2'!$B$8:$N$8,0),0)</f>
        <v>91</v>
      </c>
      <c r="L34" s="1">
        <f>VLOOKUP($B34,'DASHBOARD 2'!$B$8:$N$37,MATCH('DASHBOARD 3'!L$8,'DASHBOARD 2'!$B$8:$N$8,0),0)</f>
        <v>78</v>
      </c>
      <c r="M34" s="1">
        <f>VLOOKUP($B34,'DASHBOARD 2'!$B$8:$N$37,MATCH('DASHBOARD 3'!M$8,'DASHBOARD 2'!$B$8:$N$8,0),0)</f>
        <v>67</v>
      </c>
      <c r="N34" s="1">
        <f>VLOOKUP($B34,'DASHBOARD 2'!$B$8:$N$37,MATCH('DASHBOARD 3'!N$8,'DASHBOARD 2'!$B$8:$N$8,0),0)</f>
        <v>79</v>
      </c>
    </row>
    <row r="35" spans="2:14" x14ac:dyDescent="0.25">
      <c r="B35" s="1" t="s">
        <v>29</v>
      </c>
      <c r="C35" s="1">
        <f>VLOOKUP($B35,'DASHBOARD 2'!$B$8:$N$37,MATCH('DASHBOARD 3'!C$8,'DASHBOARD 2'!$B$8:$N$8,0),0)</f>
        <v>63</v>
      </c>
      <c r="D35" s="1">
        <f>VLOOKUP($B35,'DASHBOARD 2'!$B$8:$N$37,MATCH('DASHBOARD 3'!D$8,'DASHBOARD 2'!$B$8:$N$8,0),0)</f>
        <v>65</v>
      </c>
      <c r="E35" s="1">
        <f>VLOOKUP($B35,'DASHBOARD 2'!$B$8:$N$37,MATCH('DASHBOARD 3'!E$8,'DASHBOARD 2'!$B$8:$N$8,0),0)</f>
        <v>87</v>
      </c>
      <c r="F35" s="1">
        <f>VLOOKUP($B35,'DASHBOARD 2'!$B$8:$N$37,MATCH('DASHBOARD 3'!F$8,'DASHBOARD 2'!$B$8:$N$8,0),0)</f>
        <v>78</v>
      </c>
      <c r="G35" s="1">
        <f>VLOOKUP($B35,'DASHBOARD 2'!$B$8:$N$37,MATCH('DASHBOARD 3'!G$8,'DASHBOARD 2'!$B$8:$N$8,0),0)</f>
        <v>69</v>
      </c>
      <c r="H35" s="1">
        <f>VLOOKUP($B35,'DASHBOARD 2'!$B$8:$N$37,MATCH('DASHBOARD 3'!H$8,'DASHBOARD 2'!$B$8:$N$8,0),0)</f>
        <v>94</v>
      </c>
      <c r="I35" s="1">
        <f>VLOOKUP($B35,'DASHBOARD 2'!$B$8:$N$37,MATCH('DASHBOARD 3'!I$8,'DASHBOARD 2'!$B$8:$N$8,0),0)</f>
        <v>79</v>
      </c>
      <c r="J35" s="1">
        <f>VLOOKUP($B35,'DASHBOARD 2'!$B$8:$N$37,MATCH('DASHBOARD 3'!J$8,'DASHBOARD 2'!$B$8:$N$8,0),0)</f>
        <v>80</v>
      </c>
      <c r="K35" s="1">
        <f>VLOOKUP($B35,'DASHBOARD 2'!$B$8:$N$37,MATCH('DASHBOARD 3'!K$8,'DASHBOARD 2'!$B$8:$N$8,0),0)</f>
        <v>68</v>
      </c>
      <c r="L35" s="1">
        <f>VLOOKUP($B35,'DASHBOARD 2'!$B$8:$N$37,MATCH('DASHBOARD 3'!L$8,'DASHBOARD 2'!$B$8:$N$8,0),0)</f>
        <v>79</v>
      </c>
      <c r="M35" s="1">
        <f>VLOOKUP($B35,'DASHBOARD 2'!$B$8:$N$37,MATCH('DASHBOARD 3'!M$8,'DASHBOARD 2'!$B$8:$N$8,0),0)</f>
        <v>76</v>
      </c>
      <c r="N35" s="1">
        <f>VLOOKUP($B35,'DASHBOARD 2'!$B$8:$N$37,MATCH('DASHBOARD 3'!N$8,'DASHBOARD 2'!$B$8:$N$8,0),0)</f>
        <v>83</v>
      </c>
    </row>
    <row r="36" spans="2:14" x14ac:dyDescent="0.25">
      <c r="B36" s="1" t="s">
        <v>33</v>
      </c>
      <c r="C36" s="1">
        <f>VLOOKUP($B36,'DASHBOARD 2'!$B$8:$N$37,MATCH('DASHBOARD 3'!C$8,'DASHBOARD 2'!$B$8:$N$8,0),0)</f>
        <v>68</v>
      </c>
      <c r="D36" s="1">
        <f>VLOOKUP($B36,'DASHBOARD 2'!$B$8:$N$37,MATCH('DASHBOARD 3'!D$8,'DASHBOARD 2'!$B$8:$N$8,0),0)</f>
        <v>82</v>
      </c>
      <c r="E36" s="1">
        <f>VLOOKUP($B36,'DASHBOARD 2'!$B$8:$N$37,MATCH('DASHBOARD 3'!E$8,'DASHBOARD 2'!$B$8:$N$8,0),0)</f>
        <v>76</v>
      </c>
      <c r="F36" s="1">
        <f>VLOOKUP($B36,'DASHBOARD 2'!$B$8:$N$37,MATCH('DASHBOARD 3'!F$8,'DASHBOARD 2'!$B$8:$N$8,0),0)</f>
        <v>77</v>
      </c>
      <c r="G36" s="1">
        <f>VLOOKUP($B36,'DASHBOARD 2'!$B$8:$N$37,MATCH('DASHBOARD 3'!G$8,'DASHBOARD 2'!$B$8:$N$8,0),0)</f>
        <v>82</v>
      </c>
      <c r="H36" s="1">
        <f>VLOOKUP($B36,'DASHBOARD 2'!$B$8:$N$37,MATCH('DASHBOARD 3'!H$8,'DASHBOARD 2'!$B$8:$N$8,0),0)</f>
        <v>96</v>
      </c>
      <c r="I36" s="1">
        <f>VLOOKUP($B36,'DASHBOARD 2'!$B$8:$N$37,MATCH('DASHBOARD 3'!I$8,'DASHBOARD 2'!$B$8:$N$8,0),0)</f>
        <v>80</v>
      </c>
      <c r="J36" s="1">
        <f>VLOOKUP($B36,'DASHBOARD 2'!$B$8:$N$37,MATCH('DASHBOARD 3'!J$8,'DASHBOARD 2'!$B$8:$N$8,0),0)</f>
        <v>70</v>
      </c>
      <c r="K36" s="1">
        <f>VLOOKUP($B36,'DASHBOARD 2'!$B$8:$N$37,MATCH('DASHBOARD 3'!K$8,'DASHBOARD 2'!$B$8:$N$8,0),0)</f>
        <v>82</v>
      </c>
      <c r="L36" s="1">
        <f>VLOOKUP($B36,'DASHBOARD 2'!$B$8:$N$37,MATCH('DASHBOARD 3'!L$8,'DASHBOARD 2'!$B$8:$N$8,0),0)</f>
        <v>80</v>
      </c>
      <c r="M36" s="1">
        <f>VLOOKUP($B36,'DASHBOARD 2'!$B$8:$N$37,MATCH('DASHBOARD 3'!M$8,'DASHBOARD 2'!$B$8:$N$8,0),0)</f>
        <v>86</v>
      </c>
      <c r="N36" s="1">
        <f>VLOOKUP($B36,'DASHBOARD 2'!$B$8:$N$37,MATCH('DASHBOARD 3'!N$8,'DASHBOARD 2'!$B$8:$N$8,0),0)</f>
        <v>78</v>
      </c>
    </row>
    <row r="37" spans="2:14" x14ac:dyDescent="0.25">
      <c r="B37" s="1" t="s">
        <v>37</v>
      </c>
      <c r="C37" s="1">
        <f>VLOOKUP($B37,'DASHBOARD 2'!$B$8:$N$37,MATCH('DASHBOARD 3'!C$8,'DASHBOARD 2'!$B$8:$N$8,0),0)</f>
        <v>90</v>
      </c>
      <c r="D37" s="1">
        <f>VLOOKUP($B37,'DASHBOARD 2'!$B$8:$N$37,MATCH('DASHBOARD 3'!D$8,'DASHBOARD 2'!$B$8:$N$8,0),0)</f>
        <v>82</v>
      </c>
      <c r="E37" s="1">
        <f>VLOOKUP($B37,'DASHBOARD 2'!$B$8:$N$37,MATCH('DASHBOARD 3'!E$8,'DASHBOARD 2'!$B$8:$N$8,0),0)</f>
        <v>96</v>
      </c>
      <c r="F37" s="1">
        <f>VLOOKUP($B37,'DASHBOARD 2'!$B$8:$N$37,MATCH('DASHBOARD 3'!F$8,'DASHBOARD 2'!$B$8:$N$8,0),0)</f>
        <v>85</v>
      </c>
      <c r="G37" s="1">
        <f>VLOOKUP($B37,'DASHBOARD 2'!$B$8:$N$37,MATCH('DASHBOARD 3'!G$8,'DASHBOARD 2'!$B$8:$N$8,0),0)</f>
        <v>60</v>
      </c>
      <c r="H37" s="1">
        <f>VLOOKUP($B37,'DASHBOARD 2'!$B$8:$N$37,MATCH('DASHBOARD 3'!H$8,'DASHBOARD 2'!$B$8:$N$8,0),0)</f>
        <v>95</v>
      </c>
      <c r="I37" s="1">
        <f>VLOOKUP($B37,'DASHBOARD 2'!$B$8:$N$37,MATCH('DASHBOARD 3'!I$8,'DASHBOARD 2'!$B$8:$N$8,0),0)</f>
        <v>81</v>
      </c>
      <c r="J37" s="1">
        <f>VLOOKUP($B37,'DASHBOARD 2'!$B$8:$N$37,MATCH('DASHBOARD 3'!J$8,'DASHBOARD 2'!$B$8:$N$8,0),0)</f>
        <v>85</v>
      </c>
      <c r="K37" s="1">
        <f>VLOOKUP($B37,'DASHBOARD 2'!$B$8:$N$37,MATCH('DASHBOARD 3'!K$8,'DASHBOARD 2'!$B$8:$N$8,0),0)</f>
        <v>65</v>
      </c>
      <c r="L37" s="1">
        <f>VLOOKUP($B37,'DASHBOARD 2'!$B$8:$N$37,MATCH('DASHBOARD 3'!L$8,'DASHBOARD 2'!$B$8:$N$8,0),0)</f>
        <v>66</v>
      </c>
      <c r="M37" s="1">
        <f>VLOOKUP($B37,'DASHBOARD 2'!$B$8:$N$37,MATCH('DASHBOARD 3'!M$8,'DASHBOARD 2'!$B$8:$N$8,0),0)</f>
        <v>96</v>
      </c>
      <c r="N37" s="1">
        <f>VLOOKUP($B37,'DASHBOARD 2'!$B$8:$N$37,MATCH('DASHBOARD 3'!N$8,'DASHBOARD 2'!$B$8:$N$8,0),0)</f>
        <v>96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B0173-CB91-4810-B2B7-521FFCCA956C}">
  <sheetPr codeName="Sheet15"/>
  <dimension ref="C8:W37"/>
  <sheetViews>
    <sheetView workbookViewId="0">
      <selection activeCell="D8" sqref="D8"/>
    </sheetView>
  </sheetViews>
  <sheetFormatPr defaultRowHeight="15" x14ac:dyDescent="0.25"/>
  <cols>
    <col min="3" max="3" width="16.140625" customWidth="1"/>
    <col min="5" max="5" width="46.85546875" customWidth="1"/>
    <col min="6" max="6" width="19.42578125" customWidth="1"/>
  </cols>
  <sheetData>
    <row r="8" spans="3:23" x14ac:dyDescent="0.25">
      <c r="C8" s="52" t="s">
        <v>17</v>
      </c>
      <c r="D8" s="11" t="s">
        <v>168</v>
      </c>
    </row>
    <row r="9" spans="3:23" x14ac:dyDescent="0.25">
      <c r="C9" s="51" t="s">
        <v>28</v>
      </c>
      <c r="D9" s="238">
        <f>VLOOKUP($C9,'DASHBOARD 3'!$B$8:$N$37,MATCH('DASHBOARD 4'!D$8,'DASHBOARD 3'!$B$8:$N$8,0),0)</f>
        <v>84</v>
      </c>
      <c r="E9" s="48" t="str">
        <f>REPT($W$16,D9)</f>
        <v>||||||||||||||||||||||||||||||||||||||||||||||||||||||||||||||||||||||||||||||||||||</v>
      </c>
      <c r="F9" s="50" t="str">
        <f>VLOOKUP(D9,$U$19:$V$23,2,1)</f>
        <v>ìììì</v>
      </c>
    </row>
    <row r="10" spans="3:23" x14ac:dyDescent="0.25">
      <c r="C10" s="51" t="s">
        <v>29</v>
      </c>
      <c r="D10" s="238">
        <f>VLOOKUP($C10,'DASHBOARD 3'!$B$8:$N$37,MATCH('DASHBOARD 4'!D$8,'DASHBOARD 3'!$B$8:$N$8,0),0)</f>
        <v>68</v>
      </c>
      <c r="E10" s="48" t="str">
        <f t="shared" ref="E10:E37" si="0">REPT($W$16,D10)</f>
        <v>||||||||||||||||||||||||||||||||||||||||||||||||||||||||||||||||||||</v>
      </c>
      <c r="F10" s="50" t="str">
        <f t="shared" ref="F10:F37" si="1">VLOOKUP(D10,$U$19:$V$23,2,1)</f>
        <v>ììì</v>
      </c>
    </row>
    <row r="11" spans="3:23" x14ac:dyDescent="0.25">
      <c r="C11" s="51" t="s">
        <v>32</v>
      </c>
      <c r="D11" s="238">
        <f>VLOOKUP($C11,'DASHBOARD 3'!$B$8:$N$37,MATCH('DASHBOARD 4'!D$8,'DASHBOARD 3'!$B$8:$N$8,0),0)</f>
        <v>62</v>
      </c>
      <c r="E11" s="48" t="str">
        <f t="shared" si="0"/>
        <v>||||||||||||||||||||||||||||||||||||||||||||||||||||||||||||||</v>
      </c>
      <c r="F11" s="50" t="str">
        <f t="shared" si="1"/>
        <v>ììì</v>
      </c>
    </row>
    <row r="12" spans="3:23" x14ac:dyDescent="0.25">
      <c r="C12" s="51" t="s">
        <v>42</v>
      </c>
      <c r="D12" s="238">
        <f>VLOOKUP($C12,'DASHBOARD 3'!$B$8:$N$37,MATCH('DASHBOARD 4'!D$8,'DASHBOARD 3'!$B$8:$N$8,0),0)</f>
        <v>85</v>
      </c>
      <c r="E12" s="48" t="str">
        <f t="shared" si="0"/>
        <v>|||||||||||||||||||||||||||||||||||||||||||||||||||||||||||||||||||||||||||||||||||||</v>
      </c>
      <c r="F12" s="50" t="str">
        <f t="shared" si="1"/>
        <v>ìììì</v>
      </c>
    </row>
    <row r="13" spans="3:23" x14ac:dyDescent="0.25">
      <c r="C13" s="51" t="s">
        <v>31</v>
      </c>
      <c r="D13" s="238">
        <f>VLOOKUP($C13,'DASHBOARD 3'!$B$8:$N$37,MATCH('DASHBOARD 4'!D$8,'DASHBOARD 3'!$B$8:$N$8,0),0)</f>
        <v>62</v>
      </c>
      <c r="E13" s="48" t="str">
        <f t="shared" si="0"/>
        <v>||||||||||||||||||||||||||||||||||||||||||||||||||||||||||||||</v>
      </c>
      <c r="F13" s="50" t="str">
        <f t="shared" si="1"/>
        <v>ììì</v>
      </c>
    </row>
    <row r="14" spans="3:23" x14ac:dyDescent="0.25">
      <c r="C14" s="51" t="s">
        <v>29</v>
      </c>
      <c r="D14" s="238">
        <f>VLOOKUP($C14,'DASHBOARD 3'!$B$8:$N$37,MATCH('DASHBOARD 4'!D$8,'DASHBOARD 3'!$B$8:$N$8,0),0)</f>
        <v>68</v>
      </c>
      <c r="E14" s="48" t="str">
        <f t="shared" si="0"/>
        <v>||||||||||||||||||||||||||||||||||||||||||||||||||||||||||||||||||||</v>
      </c>
      <c r="F14" s="50" t="str">
        <f t="shared" si="1"/>
        <v>ììì</v>
      </c>
    </row>
    <row r="15" spans="3:23" x14ac:dyDescent="0.25">
      <c r="C15" s="51" t="s">
        <v>43</v>
      </c>
      <c r="D15" s="238">
        <f>VLOOKUP($C15,'DASHBOARD 3'!$B$8:$N$37,MATCH('DASHBOARD 4'!D$8,'DASHBOARD 3'!$B$8:$N$8,0),0)</f>
        <v>97</v>
      </c>
      <c r="E15" s="48" t="str">
        <f t="shared" si="0"/>
        <v>|||||||||||||||||||||||||||||||||||||||||||||||||||||||||||||||||||||||||||||||||||||||||||||||||</v>
      </c>
      <c r="F15" s="50" t="str">
        <f t="shared" si="1"/>
        <v>ìììì</v>
      </c>
    </row>
    <row r="16" spans="3:23" x14ac:dyDescent="0.25">
      <c r="C16" s="51" t="s">
        <v>30</v>
      </c>
      <c r="D16" s="238">
        <f>VLOOKUP($C16,'DASHBOARD 3'!$B$8:$N$37,MATCH('DASHBOARD 4'!D$8,'DASHBOARD 3'!$B$8:$N$8,0),0)</f>
        <v>99</v>
      </c>
      <c r="E16" s="48" t="str">
        <f t="shared" si="0"/>
        <v>|||||||||||||||||||||||||||||||||||||||||||||||||||||||||||||||||||||||||||||||||||||||||||||||||||</v>
      </c>
      <c r="F16" s="50" t="str">
        <f t="shared" si="1"/>
        <v>ìììì</v>
      </c>
      <c r="W16" s="47" t="s">
        <v>172</v>
      </c>
    </row>
    <row r="17" spans="3:22" x14ac:dyDescent="0.25">
      <c r="C17" s="51" t="s">
        <v>28</v>
      </c>
      <c r="D17" s="238">
        <f>VLOOKUP($C17,'DASHBOARD 3'!$B$8:$N$37,MATCH('DASHBOARD 4'!D$8,'DASHBOARD 3'!$B$8:$N$8,0),0)</f>
        <v>84</v>
      </c>
      <c r="E17" s="48" t="str">
        <f t="shared" si="0"/>
        <v>||||||||||||||||||||||||||||||||||||||||||||||||||||||||||||||||||||||||||||||||||||</v>
      </c>
      <c r="F17" s="50" t="str">
        <f t="shared" si="1"/>
        <v>ìììì</v>
      </c>
    </row>
    <row r="18" spans="3:22" x14ac:dyDescent="0.25">
      <c r="C18" s="51" t="s">
        <v>29</v>
      </c>
      <c r="D18" s="238">
        <f>VLOOKUP($C18,'DASHBOARD 3'!$B$8:$N$37,MATCH('DASHBOARD 4'!D$8,'DASHBOARD 3'!$B$8:$N$8,0),0)</f>
        <v>68</v>
      </c>
      <c r="E18" s="48" t="str">
        <f t="shared" si="0"/>
        <v>||||||||||||||||||||||||||||||||||||||||||||||||||||||||||||||||||||</v>
      </c>
      <c r="F18" s="50" t="str">
        <f t="shared" si="1"/>
        <v>ììì</v>
      </c>
    </row>
    <row r="19" spans="3:22" x14ac:dyDescent="0.25">
      <c r="C19" s="51" t="s">
        <v>32</v>
      </c>
      <c r="D19" s="238">
        <f>VLOOKUP($C19,'DASHBOARD 3'!$B$8:$N$37,MATCH('DASHBOARD 4'!D$8,'DASHBOARD 3'!$B$8:$N$8,0),0)</f>
        <v>62</v>
      </c>
      <c r="E19" s="48" t="str">
        <f t="shared" si="0"/>
        <v>||||||||||||||||||||||||||||||||||||||||||||||||||||||||||||||</v>
      </c>
      <c r="F19" s="50" t="str">
        <f t="shared" si="1"/>
        <v>ììì</v>
      </c>
      <c r="U19">
        <v>0</v>
      </c>
      <c r="V19" s="49" t="s">
        <v>173</v>
      </c>
    </row>
    <row r="20" spans="3:22" x14ac:dyDescent="0.25">
      <c r="C20" s="51" t="s">
        <v>41</v>
      </c>
      <c r="D20" s="238">
        <f>VLOOKUP($C20,'DASHBOARD 3'!$B$8:$N$37,MATCH('DASHBOARD 4'!D$8,'DASHBOARD 3'!$B$8:$N$8,0),0)</f>
        <v>61</v>
      </c>
      <c r="E20" s="48" t="str">
        <f t="shared" si="0"/>
        <v>|||||||||||||||||||||||||||||||||||||||||||||||||||||||||||||</v>
      </c>
      <c r="F20" s="50" t="str">
        <f t="shared" si="1"/>
        <v>ììì</v>
      </c>
      <c r="U20">
        <v>40</v>
      </c>
      <c r="V20" s="49" t="s">
        <v>174</v>
      </c>
    </row>
    <row r="21" spans="3:22" x14ac:dyDescent="0.25">
      <c r="C21" s="51" t="s">
        <v>42</v>
      </c>
      <c r="D21" s="238">
        <f>VLOOKUP($C21,'DASHBOARD 3'!$B$8:$N$37,MATCH('DASHBOARD 4'!D$8,'DASHBOARD 3'!$B$8:$N$8,0),0)</f>
        <v>85</v>
      </c>
      <c r="E21" s="48" t="str">
        <f t="shared" si="0"/>
        <v>|||||||||||||||||||||||||||||||||||||||||||||||||||||||||||||||||||||||||||||||||||||</v>
      </c>
      <c r="F21" s="50" t="str">
        <f t="shared" si="1"/>
        <v>ìììì</v>
      </c>
      <c r="U21">
        <v>60</v>
      </c>
      <c r="V21" s="49" t="s">
        <v>175</v>
      </c>
    </row>
    <row r="22" spans="3:22" x14ac:dyDescent="0.25">
      <c r="C22" s="51" t="s">
        <v>36</v>
      </c>
      <c r="D22" s="238">
        <f>VLOOKUP($C22,'DASHBOARD 3'!$B$8:$N$37,MATCH('DASHBOARD 4'!D$8,'DASHBOARD 3'!$B$8:$N$8,0),0)</f>
        <v>76</v>
      </c>
      <c r="E22" s="48" t="str">
        <f t="shared" si="0"/>
        <v>||||||||||||||||||||||||||||||||||||||||||||||||||||||||||||||||||||||||||||</v>
      </c>
      <c r="F22" s="50" t="str">
        <f t="shared" si="1"/>
        <v>ììì</v>
      </c>
      <c r="U22">
        <v>80</v>
      </c>
      <c r="V22" s="49" t="s">
        <v>176</v>
      </c>
    </row>
    <row r="23" spans="3:22" x14ac:dyDescent="0.25">
      <c r="C23" s="51" t="s">
        <v>31</v>
      </c>
      <c r="D23" s="238">
        <f>VLOOKUP($C23,'DASHBOARD 3'!$B$8:$N$37,MATCH('DASHBOARD 4'!D$8,'DASHBOARD 3'!$B$8:$N$8,0),0)</f>
        <v>62</v>
      </c>
      <c r="E23" s="48" t="str">
        <f t="shared" si="0"/>
        <v>||||||||||||||||||||||||||||||||||||||||||||||||||||||||||||||</v>
      </c>
      <c r="F23" s="50" t="str">
        <f t="shared" si="1"/>
        <v>ììì</v>
      </c>
      <c r="U23">
        <v>100</v>
      </c>
      <c r="V23" s="49" t="s">
        <v>177</v>
      </c>
    </row>
    <row r="24" spans="3:22" x14ac:dyDescent="0.25">
      <c r="C24" s="51" t="s">
        <v>30</v>
      </c>
      <c r="D24" s="238">
        <f>VLOOKUP($C24,'DASHBOARD 3'!$B$8:$N$37,MATCH('DASHBOARD 4'!D$8,'DASHBOARD 3'!$B$8:$N$8,0),0)</f>
        <v>99</v>
      </c>
      <c r="E24" s="48" t="str">
        <f t="shared" si="0"/>
        <v>|||||||||||||||||||||||||||||||||||||||||||||||||||||||||||||||||||||||||||||||||||||||||||||||||||</v>
      </c>
      <c r="F24" s="50" t="str">
        <f t="shared" si="1"/>
        <v>ìììì</v>
      </c>
      <c r="V24" s="49"/>
    </row>
    <row r="25" spans="3:22" x14ac:dyDescent="0.25">
      <c r="C25" s="51" t="s">
        <v>40</v>
      </c>
      <c r="D25" s="238">
        <f>VLOOKUP($C25,'DASHBOARD 3'!$B$8:$N$37,MATCH('DASHBOARD 4'!D$8,'DASHBOARD 3'!$B$8:$N$8,0),0)</f>
        <v>73</v>
      </c>
      <c r="E25" s="48" t="str">
        <f t="shared" si="0"/>
        <v>|||||||||||||||||||||||||||||||||||||||||||||||||||||||||||||||||||||||||</v>
      </c>
      <c r="F25" s="50" t="str">
        <f t="shared" si="1"/>
        <v>ììì</v>
      </c>
    </row>
    <row r="26" spans="3:22" x14ac:dyDescent="0.25">
      <c r="C26" s="51" t="s">
        <v>43</v>
      </c>
      <c r="D26" s="238">
        <f>VLOOKUP($C26,'DASHBOARD 3'!$B$8:$N$37,MATCH('DASHBOARD 4'!D$8,'DASHBOARD 3'!$B$8:$N$8,0),0)</f>
        <v>97</v>
      </c>
      <c r="E26" s="48" t="str">
        <f t="shared" si="0"/>
        <v>|||||||||||||||||||||||||||||||||||||||||||||||||||||||||||||||||||||||||||||||||||||||||||||||||</v>
      </c>
      <c r="F26" s="50" t="str">
        <f t="shared" si="1"/>
        <v>ìììì</v>
      </c>
    </row>
    <row r="27" spans="3:22" x14ac:dyDescent="0.25">
      <c r="C27" s="51" t="s">
        <v>33</v>
      </c>
      <c r="D27" s="238">
        <f>VLOOKUP($C27,'DASHBOARD 3'!$B$8:$N$37,MATCH('DASHBOARD 4'!D$8,'DASHBOARD 3'!$B$8:$N$8,0),0)</f>
        <v>82</v>
      </c>
      <c r="E27" s="48" t="str">
        <f t="shared" si="0"/>
        <v>||||||||||||||||||||||||||||||||||||||||||||||||||||||||||||||||||||||||||||||||||</v>
      </c>
      <c r="F27" s="50" t="str">
        <f t="shared" si="1"/>
        <v>ìììì</v>
      </c>
    </row>
    <row r="28" spans="3:22" x14ac:dyDescent="0.25">
      <c r="C28" s="51" t="s">
        <v>37</v>
      </c>
      <c r="D28" s="238">
        <f>VLOOKUP($C28,'DASHBOARD 3'!$B$8:$N$37,MATCH('DASHBOARD 4'!D$8,'DASHBOARD 3'!$B$8:$N$8,0),0)</f>
        <v>65</v>
      </c>
      <c r="E28" s="48" t="str">
        <f t="shared" si="0"/>
        <v>|||||||||||||||||||||||||||||||||||||||||||||||||||||||||||||||||</v>
      </c>
      <c r="F28" s="50" t="str">
        <f t="shared" si="1"/>
        <v>ììì</v>
      </c>
    </row>
    <row r="29" spans="3:22" x14ac:dyDescent="0.25">
      <c r="C29" s="51" t="s">
        <v>44</v>
      </c>
      <c r="D29" s="238">
        <f>VLOOKUP($C29,'DASHBOARD 3'!$B$8:$N$37,MATCH('DASHBOARD 4'!D$8,'DASHBOARD 3'!$B$8:$N$8,0),0)</f>
        <v>93</v>
      </c>
      <c r="E29" s="48" t="str">
        <f t="shared" si="0"/>
        <v>|||||||||||||||||||||||||||||||||||||||||||||||||||||||||||||||||||||||||||||||||||||||||||||</v>
      </c>
      <c r="F29" s="50" t="str">
        <f t="shared" si="1"/>
        <v>ìììì</v>
      </c>
    </row>
    <row r="30" spans="3:22" x14ac:dyDescent="0.25">
      <c r="C30" s="51" t="s">
        <v>138</v>
      </c>
      <c r="D30" s="238">
        <f>VLOOKUP($C30,'DASHBOARD 3'!$B$8:$N$37,MATCH('DASHBOARD 4'!D$8,'DASHBOARD 3'!$B$8:$N$8,0),0)</f>
        <v>100</v>
      </c>
      <c r="E30" s="48" t="str">
        <f t="shared" si="0"/>
        <v>||||||||||||||||||||||||||||||||||||||||||||||||||||||||||||||||||||||||||||||||||||||||||||||||||||</v>
      </c>
      <c r="F30" s="50" t="str">
        <f t="shared" si="1"/>
        <v>ììììì</v>
      </c>
    </row>
    <row r="31" spans="3:22" x14ac:dyDescent="0.25">
      <c r="C31" s="51" t="s">
        <v>28</v>
      </c>
      <c r="D31" s="238">
        <f>VLOOKUP($C31,'DASHBOARD 3'!$B$8:$N$37,MATCH('DASHBOARD 4'!D$8,'DASHBOARD 3'!$B$8:$N$8,0),0)</f>
        <v>84</v>
      </c>
      <c r="E31" s="48" t="str">
        <f t="shared" si="0"/>
        <v>||||||||||||||||||||||||||||||||||||||||||||||||||||||||||||||||||||||||||||||||||||</v>
      </c>
      <c r="F31" s="50" t="str">
        <f t="shared" si="1"/>
        <v>ìììì</v>
      </c>
    </row>
    <row r="32" spans="3:22" x14ac:dyDescent="0.25">
      <c r="C32" s="51" t="s">
        <v>31</v>
      </c>
      <c r="D32" s="238">
        <f>VLOOKUP($C32,'DASHBOARD 3'!$B$8:$N$37,MATCH('DASHBOARD 4'!D$8,'DASHBOARD 3'!$B$8:$N$8,0),0)</f>
        <v>62</v>
      </c>
      <c r="E32" s="48" t="str">
        <f t="shared" si="0"/>
        <v>||||||||||||||||||||||||||||||||||||||||||||||||||||||||||||||</v>
      </c>
      <c r="F32" s="50" t="str">
        <f t="shared" si="1"/>
        <v>ììì</v>
      </c>
    </row>
    <row r="33" spans="3:6" x14ac:dyDescent="0.25">
      <c r="C33" s="51" t="s">
        <v>46</v>
      </c>
      <c r="D33" s="238">
        <f>VLOOKUP($C33,'DASHBOARD 3'!$B$8:$N$37,MATCH('DASHBOARD 4'!D$8,'DASHBOARD 3'!$B$8:$N$8,0),0)</f>
        <v>90</v>
      </c>
      <c r="E33" s="48" t="str">
        <f t="shared" si="0"/>
        <v>||||||||||||||||||||||||||||||||||||||||||||||||||||||||||||||||||||||||||||||||||||||||||</v>
      </c>
      <c r="F33" s="50" t="str">
        <f t="shared" si="1"/>
        <v>ìììì</v>
      </c>
    </row>
    <row r="34" spans="3:6" x14ac:dyDescent="0.25">
      <c r="C34" s="51" t="s">
        <v>35</v>
      </c>
      <c r="D34" s="238">
        <f>VLOOKUP($C34,'DASHBOARD 3'!$B$8:$N$37,MATCH('DASHBOARD 4'!D$8,'DASHBOARD 3'!$B$8:$N$8,0),0)</f>
        <v>91</v>
      </c>
      <c r="E34" s="48" t="str">
        <f t="shared" si="0"/>
        <v>|||||||||||||||||||||||||||||||||||||||||||||||||||||||||||||||||||||||||||||||||||||||||||</v>
      </c>
      <c r="F34" s="50" t="str">
        <f t="shared" si="1"/>
        <v>ìììì</v>
      </c>
    </row>
    <row r="35" spans="3:6" x14ac:dyDescent="0.25">
      <c r="C35" s="51" t="s">
        <v>29</v>
      </c>
      <c r="D35" s="238">
        <f>VLOOKUP($C35,'DASHBOARD 3'!$B$8:$N$37,MATCH('DASHBOARD 4'!D$8,'DASHBOARD 3'!$B$8:$N$8,0),0)</f>
        <v>68</v>
      </c>
      <c r="E35" s="48" t="str">
        <f t="shared" si="0"/>
        <v>||||||||||||||||||||||||||||||||||||||||||||||||||||||||||||||||||||</v>
      </c>
      <c r="F35" s="50" t="str">
        <f t="shared" si="1"/>
        <v>ììì</v>
      </c>
    </row>
    <row r="36" spans="3:6" x14ac:dyDescent="0.25">
      <c r="C36" s="51" t="s">
        <v>33</v>
      </c>
      <c r="D36" s="238">
        <f>VLOOKUP($C36,'DASHBOARD 3'!$B$8:$N$37,MATCH('DASHBOARD 4'!D$8,'DASHBOARD 3'!$B$8:$N$8,0),0)</f>
        <v>82</v>
      </c>
      <c r="E36" s="48" t="str">
        <f t="shared" si="0"/>
        <v>||||||||||||||||||||||||||||||||||||||||||||||||||||||||||||||||||||||||||||||||||</v>
      </c>
      <c r="F36" s="50" t="str">
        <f t="shared" si="1"/>
        <v>ìììì</v>
      </c>
    </row>
    <row r="37" spans="3:6" x14ac:dyDescent="0.25">
      <c r="C37" s="51" t="s">
        <v>37</v>
      </c>
      <c r="D37" s="238">
        <f>VLOOKUP($C37,'DASHBOARD 3'!$B$8:$N$37,MATCH('DASHBOARD 4'!D$8,'DASHBOARD 3'!$B$8:$N$8,0),0)</f>
        <v>65</v>
      </c>
      <c r="E37" s="48" t="str">
        <f t="shared" si="0"/>
        <v>|||||||||||||||||||||||||||||||||||||||||||||||||||||||||||||||||</v>
      </c>
      <c r="F37" s="50" t="str">
        <f t="shared" si="1"/>
        <v>ììì</v>
      </c>
    </row>
  </sheetData>
  <conditionalFormatting sqref="E9:E37">
    <cfRule type="expression" dxfId="3" priority="1">
      <formula>$D9&gt;70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24459DF-C62B-4A28-BE6E-4E56D4D73DC4}">
          <x14:formula1>
            <xm:f>'DASHBOARD 3'!$C$8:$N$8</xm:f>
          </x14:formula1>
          <xm:sqref>D8</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BA211-BD64-4949-833A-576C64E09EC3}">
  <dimension ref="C5:T41"/>
  <sheetViews>
    <sheetView workbookViewId="0">
      <selection activeCell="T9" sqref="T9"/>
    </sheetView>
  </sheetViews>
  <sheetFormatPr defaultRowHeight="15" x14ac:dyDescent="0.25"/>
  <cols>
    <col min="1" max="2" width="9.140625" style="223"/>
    <col min="3" max="3" width="14.7109375" style="223" bestFit="1" customWidth="1"/>
    <col min="4" max="4" width="9.28515625" style="223" customWidth="1"/>
    <col min="5" max="5" width="16" style="223" customWidth="1"/>
    <col min="6" max="7" width="11.140625" style="223" bestFit="1" customWidth="1"/>
    <col min="8" max="16384" width="9.140625" style="223"/>
  </cols>
  <sheetData>
    <row r="5" spans="3:20" ht="15.75" x14ac:dyDescent="0.3">
      <c r="Q5" s="225" t="s">
        <v>172</v>
      </c>
    </row>
    <row r="6" spans="3:20" x14ac:dyDescent="0.25">
      <c r="P6"/>
      <c r="Q6"/>
      <c r="R6"/>
      <c r="S6"/>
      <c r="T6"/>
    </row>
    <row r="8" spans="3:20" x14ac:dyDescent="0.25">
      <c r="C8" s="224" t="s">
        <v>17</v>
      </c>
      <c r="D8" s="223" t="s">
        <v>170</v>
      </c>
    </row>
    <row r="9" spans="3:20" x14ac:dyDescent="0.25">
      <c r="C9" s="223" t="s">
        <v>28</v>
      </c>
      <c r="D9" s="223">
        <f>VLOOKUP($C9,'DASHBOARD 2'!$B$8:$N$37,MATCH(Sheet1!D$8,'DASHBOARD 2'!$B$8:$N$8,0),0)</f>
        <v>87</v>
      </c>
      <c r="E9" s="226" t="str">
        <f>REPT($Q$5,D9)</f>
        <v>|||||||||||||||||||||||||||||||||||||||||||||||||||||||||||||||||||||||||||||||||||||||</v>
      </c>
      <c r="G9" s="227" t="str">
        <f>VLOOKUP(D9,$J$14:$K$18,2,1)</f>
        <v>¬¬¬¬</v>
      </c>
      <c r="H9" s="227"/>
      <c r="I9" s="227"/>
    </row>
    <row r="10" spans="3:20" x14ac:dyDescent="0.25">
      <c r="C10" s="223" t="s">
        <v>29</v>
      </c>
      <c r="D10" s="223">
        <f>VLOOKUP($C10,'DASHBOARD 2'!$B$8:$N$37,MATCH(Sheet1!D$8,'DASHBOARD 2'!$B$8:$N$8,0),0)</f>
        <v>76</v>
      </c>
      <c r="E10" s="226" t="str">
        <f t="shared" ref="E10:E37" si="0">REPT($Q$5,D10)</f>
        <v>||||||||||||||||||||||||||||||||||||||||||||||||||||||||||||||||||||||||||||</v>
      </c>
      <c r="G10" s="227" t="str">
        <f t="shared" ref="G10:G37" si="1">VLOOKUP(D10,$J$14:$K$18,2,1)</f>
        <v>¬¬¬</v>
      </c>
      <c r="H10" s="227"/>
      <c r="I10" s="227"/>
    </row>
    <row r="11" spans="3:20" x14ac:dyDescent="0.25">
      <c r="C11" s="223" t="s">
        <v>32</v>
      </c>
      <c r="D11" s="223">
        <v>45</v>
      </c>
      <c r="E11" s="226" t="str">
        <f t="shared" si="0"/>
        <v>|||||||||||||||||||||||||||||||||||||||||||||</v>
      </c>
      <c r="G11" s="227" t="str">
        <f t="shared" si="1"/>
        <v>¬¬</v>
      </c>
      <c r="H11" s="227"/>
      <c r="I11" s="227"/>
    </row>
    <row r="12" spans="3:20" x14ac:dyDescent="0.25">
      <c r="C12" s="223" t="s">
        <v>42</v>
      </c>
      <c r="D12" s="223">
        <f>VLOOKUP($C12,'DASHBOARD 2'!$B$8:$N$37,MATCH(Sheet1!D$8,'DASHBOARD 2'!$B$8:$N$8,0),0)</f>
        <v>60</v>
      </c>
      <c r="E12" s="226" t="str">
        <f t="shared" si="0"/>
        <v>||||||||||||||||||||||||||||||||||||||||||||||||||||||||||||</v>
      </c>
      <c r="G12" s="227" t="str">
        <f t="shared" si="1"/>
        <v>¬¬¬</v>
      </c>
      <c r="H12" s="227"/>
      <c r="I12" s="227"/>
    </row>
    <row r="13" spans="3:20" x14ac:dyDescent="0.25">
      <c r="C13" s="223" t="s">
        <v>31</v>
      </c>
      <c r="D13" s="223">
        <f>VLOOKUP($C13,'DASHBOARD 2'!$B$8:$N$37,MATCH(Sheet1!D$8,'DASHBOARD 2'!$B$8:$N$8,0),0)</f>
        <v>71</v>
      </c>
      <c r="E13" s="226" t="str">
        <f t="shared" si="0"/>
        <v>|||||||||||||||||||||||||||||||||||||||||||||||||||||||||||||||||||||||</v>
      </c>
      <c r="G13" s="227" t="str">
        <f t="shared" si="1"/>
        <v>¬¬¬</v>
      </c>
      <c r="H13" s="227"/>
      <c r="I13" s="227"/>
    </row>
    <row r="14" spans="3:20" x14ac:dyDescent="0.25">
      <c r="C14" s="223" t="s">
        <v>29</v>
      </c>
      <c r="D14" s="223">
        <f>VLOOKUP($C14,'DASHBOARD 2'!$B$8:$N$37,MATCH(Sheet1!D$8,'DASHBOARD 2'!$B$8:$N$8,0),0)</f>
        <v>76</v>
      </c>
      <c r="E14" s="226" t="str">
        <f t="shared" si="0"/>
        <v>||||||||||||||||||||||||||||||||||||||||||||||||||||||||||||||||||||||||||||</v>
      </c>
      <c r="G14" s="227" t="str">
        <f t="shared" si="1"/>
        <v>¬¬¬</v>
      </c>
      <c r="H14" s="227"/>
      <c r="I14" s="227"/>
      <c r="J14" s="223">
        <v>0</v>
      </c>
      <c r="K14" s="227" t="s">
        <v>606</v>
      </c>
    </row>
    <row r="15" spans="3:20" x14ac:dyDescent="0.25">
      <c r="C15" s="223" t="s">
        <v>43</v>
      </c>
      <c r="D15" s="223">
        <f>VLOOKUP($C15,'DASHBOARD 2'!$B$8:$N$37,MATCH(Sheet1!D$8,'DASHBOARD 2'!$B$8:$N$8,0),0)</f>
        <v>70</v>
      </c>
      <c r="E15" s="226" t="str">
        <f t="shared" si="0"/>
        <v>||||||||||||||||||||||||||||||||||||||||||||||||||||||||||||||||||||||</v>
      </c>
      <c r="G15" s="227" t="str">
        <f t="shared" si="1"/>
        <v>¬¬¬</v>
      </c>
      <c r="H15" s="227"/>
      <c r="I15" s="227"/>
      <c r="J15" s="223">
        <v>20</v>
      </c>
      <c r="K15" s="227" t="s">
        <v>607</v>
      </c>
    </row>
    <row r="16" spans="3:20" x14ac:dyDescent="0.25">
      <c r="C16" s="223" t="s">
        <v>30</v>
      </c>
      <c r="D16" s="223">
        <f>VLOOKUP($C16,'DASHBOARD 2'!$B$8:$N$37,MATCH(Sheet1!D$8,'DASHBOARD 2'!$B$8:$N$8,0),0)</f>
        <v>73</v>
      </c>
      <c r="E16" s="226" t="str">
        <f t="shared" si="0"/>
        <v>|||||||||||||||||||||||||||||||||||||||||||||||||||||||||||||||||||||||||</v>
      </c>
      <c r="G16" s="227" t="str">
        <f t="shared" si="1"/>
        <v>¬¬¬</v>
      </c>
      <c r="H16" s="227"/>
      <c r="I16" s="227"/>
      <c r="J16" s="223">
        <v>50</v>
      </c>
      <c r="K16" s="227" t="s">
        <v>608</v>
      </c>
    </row>
    <row r="17" spans="3:11" x14ac:dyDescent="0.25">
      <c r="C17" s="223" t="s">
        <v>28</v>
      </c>
      <c r="D17" s="223">
        <f>VLOOKUP($C17,'DASHBOARD 2'!$B$8:$N$37,MATCH(Sheet1!D$8,'DASHBOARD 2'!$B$8:$N$8,0),0)</f>
        <v>87</v>
      </c>
      <c r="E17" s="226" t="str">
        <f t="shared" si="0"/>
        <v>|||||||||||||||||||||||||||||||||||||||||||||||||||||||||||||||||||||||||||||||||||||||</v>
      </c>
      <c r="G17" s="227" t="str">
        <f t="shared" si="1"/>
        <v>¬¬¬¬</v>
      </c>
      <c r="H17" s="227"/>
      <c r="I17" s="227"/>
      <c r="J17" s="223">
        <v>80</v>
      </c>
      <c r="K17" s="227" t="s">
        <v>609</v>
      </c>
    </row>
    <row r="18" spans="3:11" x14ac:dyDescent="0.25">
      <c r="C18" s="223" t="s">
        <v>29</v>
      </c>
      <c r="D18" s="223">
        <f>VLOOKUP($C18,'DASHBOARD 2'!$B$8:$N$37,MATCH(Sheet1!D$8,'DASHBOARD 2'!$B$8:$N$8,0),0)</f>
        <v>76</v>
      </c>
      <c r="E18" s="226" t="str">
        <f t="shared" si="0"/>
        <v>||||||||||||||||||||||||||||||||||||||||||||||||||||||||||||||||||||||||||||</v>
      </c>
      <c r="G18" s="227" t="str">
        <f t="shared" si="1"/>
        <v>¬¬¬</v>
      </c>
      <c r="H18" s="227"/>
      <c r="I18" s="227"/>
      <c r="J18" s="223">
        <v>100</v>
      </c>
      <c r="K18" s="227" t="s">
        <v>610</v>
      </c>
    </row>
    <row r="19" spans="3:11" x14ac:dyDescent="0.25">
      <c r="C19" s="223" t="s">
        <v>32</v>
      </c>
      <c r="D19" s="223">
        <f>VLOOKUP($C19,'DASHBOARD 2'!$B$8:$N$37,MATCH(Sheet1!D$8,'DASHBOARD 2'!$B$8:$N$8,0),0)</f>
        <v>86</v>
      </c>
      <c r="E19" s="226" t="str">
        <f t="shared" si="0"/>
        <v>||||||||||||||||||||||||||||||||||||||||||||||||||||||||||||||||||||||||||||||||||||||</v>
      </c>
      <c r="G19" s="227" t="str">
        <f t="shared" si="1"/>
        <v>¬¬¬¬</v>
      </c>
      <c r="H19" s="227"/>
      <c r="I19" s="227"/>
      <c r="K19" s="227"/>
    </row>
    <row r="20" spans="3:11" x14ac:dyDescent="0.25">
      <c r="C20" s="223" t="s">
        <v>41</v>
      </c>
      <c r="D20" s="223">
        <f>VLOOKUP($C20,'DASHBOARD 2'!$B$8:$N$37,MATCH(Sheet1!D$8,'DASHBOARD 2'!$B$8:$N$8,0),0)</f>
        <v>83</v>
      </c>
      <c r="E20" s="226" t="str">
        <f t="shared" si="0"/>
        <v>|||||||||||||||||||||||||||||||||||||||||||||||||||||||||||||||||||||||||||||||||||</v>
      </c>
      <c r="G20" s="227" t="str">
        <f t="shared" si="1"/>
        <v>¬¬¬¬</v>
      </c>
      <c r="H20" s="227"/>
      <c r="I20" s="227"/>
      <c r="K20" s="227"/>
    </row>
    <row r="21" spans="3:11" x14ac:dyDescent="0.25">
      <c r="C21" s="223" t="s">
        <v>42</v>
      </c>
      <c r="D21" s="223">
        <f>VLOOKUP($C21,'DASHBOARD 2'!$B$8:$N$37,MATCH(Sheet1!D$8,'DASHBOARD 2'!$B$8:$N$8,0),0)</f>
        <v>60</v>
      </c>
      <c r="E21" s="226" t="str">
        <f t="shared" si="0"/>
        <v>||||||||||||||||||||||||||||||||||||||||||||||||||||||||||||</v>
      </c>
      <c r="G21" s="227" t="str">
        <f t="shared" si="1"/>
        <v>¬¬¬</v>
      </c>
      <c r="H21" s="227"/>
      <c r="I21" s="227"/>
    </row>
    <row r="22" spans="3:11" x14ac:dyDescent="0.25">
      <c r="C22" s="223" t="s">
        <v>36</v>
      </c>
      <c r="D22" s="223">
        <f>VLOOKUP($C22,'DASHBOARD 2'!$B$8:$N$37,MATCH(Sheet1!D$8,'DASHBOARD 2'!$B$8:$N$8,0),0)</f>
        <v>80</v>
      </c>
      <c r="E22" s="226" t="str">
        <f t="shared" si="0"/>
        <v>||||||||||||||||||||||||||||||||||||||||||||||||||||||||||||||||||||||||||||||||</v>
      </c>
      <c r="G22" s="227" t="str">
        <f t="shared" si="1"/>
        <v>¬¬¬¬</v>
      </c>
      <c r="H22" s="227"/>
      <c r="I22" s="227"/>
    </row>
    <row r="23" spans="3:11" x14ac:dyDescent="0.25">
      <c r="C23" s="223" t="s">
        <v>31</v>
      </c>
      <c r="D23" s="223">
        <f>VLOOKUP($C23,'DASHBOARD 2'!$B$8:$N$37,MATCH(Sheet1!D$8,'DASHBOARD 2'!$B$8:$N$8,0),0)</f>
        <v>71</v>
      </c>
      <c r="E23" s="226" t="str">
        <f t="shared" si="0"/>
        <v>|||||||||||||||||||||||||||||||||||||||||||||||||||||||||||||||||||||||</v>
      </c>
      <c r="G23" s="227" t="str">
        <f t="shared" si="1"/>
        <v>¬¬¬</v>
      </c>
      <c r="H23" s="227"/>
      <c r="I23" s="227"/>
    </row>
    <row r="24" spans="3:11" x14ac:dyDescent="0.25">
      <c r="C24" s="223" t="s">
        <v>30</v>
      </c>
      <c r="D24" s="223">
        <f>VLOOKUP($C24,'DASHBOARD 2'!$B$8:$N$37,MATCH(Sheet1!D$8,'DASHBOARD 2'!$B$8:$N$8,0),0)</f>
        <v>73</v>
      </c>
      <c r="E24" s="226" t="str">
        <f t="shared" si="0"/>
        <v>|||||||||||||||||||||||||||||||||||||||||||||||||||||||||||||||||||||||||</v>
      </c>
      <c r="G24" s="227" t="str">
        <f t="shared" si="1"/>
        <v>¬¬¬</v>
      </c>
      <c r="H24" s="227"/>
      <c r="I24" s="227"/>
    </row>
    <row r="25" spans="3:11" x14ac:dyDescent="0.25">
      <c r="C25" s="223" t="s">
        <v>40</v>
      </c>
      <c r="D25" s="223">
        <f>VLOOKUP($C25,'DASHBOARD 2'!$B$8:$N$37,MATCH(Sheet1!D$8,'DASHBOARD 2'!$B$8:$N$8,0),0)</f>
        <v>96</v>
      </c>
      <c r="E25" s="226" t="str">
        <f t="shared" si="0"/>
        <v>||||||||||||||||||||||||||||||||||||||||||||||||||||||||||||||||||||||||||||||||||||||||||||||||</v>
      </c>
      <c r="G25" s="227" t="str">
        <f t="shared" si="1"/>
        <v>¬¬¬¬</v>
      </c>
      <c r="H25" s="227"/>
      <c r="I25" s="227"/>
    </row>
    <row r="26" spans="3:11" x14ac:dyDescent="0.25">
      <c r="C26" s="223" t="s">
        <v>43</v>
      </c>
      <c r="D26" s="223">
        <f>VLOOKUP($C26,'DASHBOARD 2'!$B$8:$N$37,MATCH(Sheet1!D$8,'DASHBOARD 2'!$B$8:$N$8,0),0)</f>
        <v>70</v>
      </c>
      <c r="E26" s="226" t="str">
        <f t="shared" si="0"/>
        <v>||||||||||||||||||||||||||||||||||||||||||||||||||||||||||||||||||||||</v>
      </c>
      <c r="G26" s="227" t="str">
        <f t="shared" si="1"/>
        <v>¬¬¬</v>
      </c>
      <c r="H26" s="227"/>
      <c r="I26" s="227"/>
    </row>
    <row r="27" spans="3:11" x14ac:dyDescent="0.25">
      <c r="C27" s="223" t="s">
        <v>33</v>
      </c>
      <c r="D27" s="223">
        <f>VLOOKUP($C27,'DASHBOARD 2'!$B$8:$N$37,MATCH(Sheet1!D$8,'DASHBOARD 2'!$B$8:$N$8,0),0)</f>
        <v>86</v>
      </c>
      <c r="E27" s="226" t="str">
        <f t="shared" si="0"/>
        <v>||||||||||||||||||||||||||||||||||||||||||||||||||||||||||||||||||||||||||||||||||||||</v>
      </c>
      <c r="G27" s="227" t="str">
        <f t="shared" si="1"/>
        <v>¬¬¬¬</v>
      </c>
      <c r="H27" s="227"/>
      <c r="I27" s="227"/>
    </row>
    <row r="28" spans="3:11" x14ac:dyDescent="0.25">
      <c r="C28" s="223" t="s">
        <v>37</v>
      </c>
      <c r="D28" s="223">
        <f>VLOOKUP($C28,'DASHBOARD 2'!$B$8:$N$37,MATCH(Sheet1!D$8,'DASHBOARD 2'!$B$8:$N$8,0),0)</f>
        <v>96</v>
      </c>
      <c r="E28" s="226" t="str">
        <f t="shared" si="0"/>
        <v>||||||||||||||||||||||||||||||||||||||||||||||||||||||||||||||||||||||||||||||||||||||||||||||||</v>
      </c>
      <c r="G28" s="227" t="str">
        <f t="shared" si="1"/>
        <v>¬¬¬¬</v>
      </c>
      <c r="H28" s="227"/>
      <c r="I28" s="227"/>
    </row>
    <row r="29" spans="3:11" x14ac:dyDescent="0.25">
      <c r="C29" s="223" t="s">
        <v>44</v>
      </c>
      <c r="D29" s="223">
        <f>VLOOKUP($C29,'DASHBOARD 2'!$B$8:$N$37,MATCH(Sheet1!D$8,'DASHBOARD 2'!$B$8:$N$8,0),0)</f>
        <v>60</v>
      </c>
      <c r="E29" s="226" t="str">
        <f t="shared" si="0"/>
        <v>||||||||||||||||||||||||||||||||||||||||||||||||||||||||||||</v>
      </c>
      <c r="G29" s="227" t="str">
        <f t="shared" si="1"/>
        <v>¬¬¬</v>
      </c>
      <c r="H29" s="227"/>
      <c r="I29" s="227"/>
    </row>
    <row r="30" spans="3:11" x14ac:dyDescent="0.25">
      <c r="C30" s="223" t="s">
        <v>138</v>
      </c>
      <c r="D30" s="223">
        <f>VLOOKUP($C30,'DASHBOARD 2'!$B$8:$N$37,MATCH(Sheet1!D$8,'DASHBOARD 2'!$B$8:$N$8,0),0)</f>
        <v>63</v>
      </c>
      <c r="E30" s="226" t="str">
        <f t="shared" si="0"/>
        <v>|||||||||||||||||||||||||||||||||||||||||||||||||||||||||||||||</v>
      </c>
      <c r="G30" s="227" t="str">
        <f t="shared" si="1"/>
        <v>¬¬¬</v>
      </c>
      <c r="H30" s="227"/>
      <c r="I30" s="227"/>
    </row>
    <row r="31" spans="3:11" x14ac:dyDescent="0.25">
      <c r="C31" s="223" t="s">
        <v>28</v>
      </c>
      <c r="D31" s="223">
        <f>VLOOKUP($C31,'DASHBOARD 2'!$B$8:$N$37,MATCH(Sheet1!D$8,'DASHBOARD 2'!$B$8:$N$8,0),0)</f>
        <v>87</v>
      </c>
      <c r="E31" s="226" t="str">
        <f t="shared" si="0"/>
        <v>|||||||||||||||||||||||||||||||||||||||||||||||||||||||||||||||||||||||||||||||||||||||</v>
      </c>
      <c r="G31" s="227" t="str">
        <f t="shared" si="1"/>
        <v>¬¬¬¬</v>
      </c>
      <c r="H31" s="227"/>
      <c r="I31" s="227"/>
    </row>
    <row r="32" spans="3:11" ht="13.5" customHeight="1" x14ac:dyDescent="0.25">
      <c r="C32" s="223" t="s">
        <v>31</v>
      </c>
      <c r="D32" s="223">
        <f>VLOOKUP($C32,'DASHBOARD 2'!$B$8:$N$37,MATCH(Sheet1!D$8,'DASHBOARD 2'!$B$8:$N$8,0),0)</f>
        <v>71</v>
      </c>
      <c r="E32" s="226" t="str">
        <f t="shared" si="0"/>
        <v>|||||||||||||||||||||||||||||||||||||||||||||||||||||||||||||||||||||||</v>
      </c>
      <c r="G32" s="227" t="str">
        <f t="shared" si="1"/>
        <v>¬¬¬</v>
      </c>
      <c r="H32" s="227"/>
      <c r="I32" s="227"/>
    </row>
    <row r="33" spans="3:9" x14ac:dyDescent="0.25">
      <c r="C33" s="223" t="s">
        <v>46</v>
      </c>
      <c r="D33" s="223">
        <f>VLOOKUP($C33,'DASHBOARD 2'!$B$8:$N$37,MATCH(Sheet1!D$8,'DASHBOARD 2'!$B$8:$N$8,0),0)</f>
        <v>94</v>
      </c>
      <c r="E33" s="226" t="str">
        <f t="shared" si="0"/>
        <v>||||||||||||||||||||||||||||||||||||||||||||||||||||||||||||||||||||||||||||||||||||||||||||||</v>
      </c>
      <c r="G33" s="227" t="str">
        <f t="shared" si="1"/>
        <v>¬¬¬¬</v>
      </c>
      <c r="H33" s="227"/>
      <c r="I33" s="227"/>
    </row>
    <row r="34" spans="3:9" x14ac:dyDescent="0.25">
      <c r="C34" s="223" t="s">
        <v>35</v>
      </c>
      <c r="D34" s="223">
        <f>VLOOKUP($C34,'DASHBOARD 2'!$B$8:$N$37,MATCH(Sheet1!D$8,'DASHBOARD 2'!$B$8:$N$8,0),0)</f>
        <v>67</v>
      </c>
      <c r="E34" s="226" t="str">
        <f t="shared" si="0"/>
        <v>|||||||||||||||||||||||||||||||||||||||||||||||||||||||||||||||||||</v>
      </c>
      <c r="G34" s="227" t="str">
        <f t="shared" si="1"/>
        <v>¬¬¬</v>
      </c>
      <c r="H34" s="227"/>
      <c r="I34" s="227"/>
    </row>
    <row r="35" spans="3:9" x14ac:dyDescent="0.25">
      <c r="C35" s="223" t="s">
        <v>29</v>
      </c>
      <c r="D35" s="223">
        <f>VLOOKUP($C35,'DASHBOARD 2'!$B$8:$N$37,MATCH(Sheet1!D$8,'DASHBOARD 2'!$B$8:$N$8,0),0)</f>
        <v>76</v>
      </c>
      <c r="E35" s="226" t="str">
        <f t="shared" si="0"/>
        <v>||||||||||||||||||||||||||||||||||||||||||||||||||||||||||||||||||||||||||||</v>
      </c>
      <c r="G35" s="227" t="str">
        <f t="shared" si="1"/>
        <v>¬¬¬</v>
      </c>
      <c r="H35" s="227"/>
      <c r="I35" s="227"/>
    </row>
    <row r="36" spans="3:9" x14ac:dyDescent="0.25">
      <c r="C36" s="223" t="s">
        <v>33</v>
      </c>
      <c r="D36" s="223">
        <f>VLOOKUP($C36,'DASHBOARD 2'!$B$8:$N$37,MATCH(Sheet1!D$8,'DASHBOARD 2'!$B$8:$N$8,0),0)</f>
        <v>86</v>
      </c>
      <c r="E36" s="226" t="str">
        <f t="shared" si="0"/>
        <v>||||||||||||||||||||||||||||||||||||||||||||||||||||||||||||||||||||||||||||||||||||||</v>
      </c>
      <c r="F36" s="227"/>
      <c r="G36" s="227" t="str">
        <f t="shared" si="1"/>
        <v>¬¬¬¬</v>
      </c>
      <c r="H36" s="227"/>
      <c r="I36" s="227"/>
    </row>
    <row r="37" spans="3:9" x14ac:dyDescent="0.25">
      <c r="C37" s="223" t="s">
        <v>37</v>
      </c>
      <c r="D37" s="223">
        <f>VLOOKUP($C37,'DASHBOARD 2'!$B$8:$N$37,MATCH(Sheet1!D$8,'DASHBOARD 2'!$B$8:$N$8,0),0)</f>
        <v>96</v>
      </c>
      <c r="E37" s="226" t="str">
        <f t="shared" si="0"/>
        <v>||||||||||||||||||||||||||||||||||||||||||||||||||||||||||||||||||||||||||||||||||||||||||||||||</v>
      </c>
      <c r="F37" s="222"/>
      <c r="G37" s="227" t="str">
        <f t="shared" si="1"/>
        <v>¬¬¬¬</v>
      </c>
      <c r="H37" s="227"/>
      <c r="I37" s="227"/>
    </row>
    <row r="38" spans="3:9" x14ac:dyDescent="0.25">
      <c r="G38" s="227"/>
      <c r="H38" s="227"/>
      <c r="I38" s="227"/>
    </row>
    <row r="39" spans="3:9" x14ac:dyDescent="0.25">
      <c r="G39" s="227"/>
      <c r="H39" s="227"/>
      <c r="I39" s="227"/>
    </row>
    <row r="40" spans="3:9" x14ac:dyDescent="0.25">
      <c r="G40" s="227"/>
      <c r="H40" s="227"/>
      <c r="I40" s="227"/>
    </row>
    <row r="41" spans="3:9" x14ac:dyDescent="0.25">
      <c r="G41" s="227"/>
      <c r="H41" s="227"/>
      <c r="I41" s="227"/>
    </row>
  </sheetData>
  <conditionalFormatting sqref="E9:F37">
    <cfRule type="expression" dxfId="2" priority="1">
      <formula>$D9&gt;=50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3643CF-B5D7-497B-8BE9-6B2F2824BF60}">
          <x14:formula1>
            <xm:f>'DASHBOARD 2'!$C$8:$N$8</xm:f>
          </x14:formula1>
          <xm:sqref>D8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60531-45A1-4528-803F-D2D39FDB14CB}">
  <sheetPr codeName="Sheet16"/>
  <dimension ref="B8:S34"/>
  <sheetViews>
    <sheetView workbookViewId="0">
      <selection activeCell="K19" sqref="K19"/>
    </sheetView>
  </sheetViews>
  <sheetFormatPr defaultRowHeight="15" x14ac:dyDescent="0.25"/>
  <cols>
    <col min="2" max="2" width="11" customWidth="1"/>
    <col min="3" max="3" width="15" customWidth="1"/>
    <col min="5" max="5" width="21.7109375" customWidth="1"/>
    <col min="10" max="10" width="24.5703125" customWidth="1"/>
    <col min="11" max="11" width="14.5703125" customWidth="1"/>
    <col min="15" max="15" width="13" customWidth="1"/>
    <col min="16" max="16" width="16.28515625" customWidth="1"/>
    <col min="17" max="17" width="13.7109375" customWidth="1"/>
    <col min="18" max="18" width="13.28515625" customWidth="1"/>
  </cols>
  <sheetData>
    <row r="8" spans="2:19" x14ac:dyDescent="0.25">
      <c r="B8" s="35" t="s">
        <v>178</v>
      </c>
      <c r="O8" s="35" t="s">
        <v>182</v>
      </c>
    </row>
    <row r="9" spans="2:19" x14ac:dyDescent="0.25">
      <c r="C9" s="39" t="s">
        <v>17</v>
      </c>
      <c r="D9" s="39" t="s">
        <v>179</v>
      </c>
      <c r="E9" s="39" t="s">
        <v>181</v>
      </c>
      <c r="F9" s="39" t="s">
        <v>180</v>
      </c>
      <c r="P9" s="39" t="s">
        <v>183</v>
      </c>
      <c r="Q9" s="39" t="s">
        <v>184</v>
      </c>
      <c r="R9" s="39" t="s">
        <v>185</v>
      </c>
      <c r="S9" s="39" t="s">
        <v>123</v>
      </c>
    </row>
    <row r="10" spans="2:19" x14ac:dyDescent="0.25">
      <c r="C10" s="16" t="s">
        <v>55</v>
      </c>
      <c r="D10" s="16" t="str">
        <f>LEFT(C10,2)</f>
        <v>DE</v>
      </c>
      <c r="E10" s="16" t="str">
        <f>MID(C10,3,1)</f>
        <v>L</v>
      </c>
      <c r="F10" s="16" t="str">
        <f>RIGHT(C10,2)</f>
        <v>HI</v>
      </c>
      <c r="P10" s="16" t="s">
        <v>186</v>
      </c>
      <c r="Q10" s="16" t="str">
        <f>LEFT(P10,LEN(P10)-9)</f>
        <v>SBI</v>
      </c>
      <c r="R10" s="16" t="str">
        <f>LEFT(RIGHT(P10,9),6)</f>
        <v>123456</v>
      </c>
      <c r="S10" s="16"/>
    </row>
    <row r="11" spans="2:19" x14ac:dyDescent="0.25">
      <c r="C11" s="16" t="s">
        <v>62</v>
      </c>
      <c r="D11" s="16" t="str">
        <f t="shared" ref="D11:D15" si="0">LEFT(C11,2)</f>
        <v>CH</v>
      </c>
      <c r="E11" s="16" t="str">
        <f t="shared" ref="E11:E15" si="1">MID(C11,3,1)</f>
        <v>E</v>
      </c>
      <c r="F11" s="16" t="str">
        <f t="shared" ref="F11:F15" si="2">RIGHT(C11,2)</f>
        <v>AI</v>
      </c>
      <c r="P11" s="16" t="s">
        <v>187</v>
      </c>
      <c r="Q11" s="16" t="str">
        <f t="shared" ref="Q11:Q13" si="3">LEFT(P11,LEN(P11)-9)</f>
        <v>ICICI</v>
      </c>
      <c r="R11" s="16" t="str">
        <f t="shared" ref="R11:R13" si="4">RIGHT(P11,9)</f>
        <v>234567MUM</v>
      </c>
      <c r="S11" s="16"/>
    </row>
    <row r="12" spans="2:19" x14ac:dyDescent="0.25">
      <c r="C12" s="16" t="s">
        <v>63</v>
      </c>
      <c r="D12" s="16" t="str">
        <f t="shared" si="0"/>
        <v>KE</v>
      </c>
      <c r="E12" s="16" t="str">
        <f t="shared" si="1"/>
        <v>R</v>
      </c>
      <c r="F12" s="16" t="str">
        <f t="shared" si="2"/>
        <v>LA</v>
      </c>
      <c r="P12" s="16" t="s">
        <v>188</v>
      </c>
      <c r="Q12" s="16" t="str">
        <f t="shared" si="3"/>
        <v>KOTAK</v>
      </c>
      <c r="R12" s="16" t="str">
        <f t="shared" si="4"/>
        <v>345678PUN</v>
      </c>
      <c r="S12" s="16"/>
    </row>
    <row r="13" spans="2:19" x14ac:dyDescent="0.25">
      <c r="C13" s="16" t="s">
        <v>61</v>
      </c>
      <c r="D13" s="16" t="str">
        <f t="shared" si="0"/>
        <v>BA</v>
      </c>
      <c r="E13" s="16" t="str">
        <f t="shared" si="1"/>
        <v>N</v>
      </c>
      <c r="F13" s="16" t="str">
        <f t="shared" si="2"/>
        <v>RE</v>
      </c>
      <c r="P13" s="16" t="s">
        <v>189</v>
      </c>
      <c r="Q13" s="16" t="str">
        <f t="shared" si="3"/>
        <v>HDFC</v>
      </c>
      <c r="R13" s="16" t="str">
        <f t="shared" si="4"/>
        <v>456789BIH</v>
      </c>
      <c r="S13" s="16"/>
    </row>
    <row r="14" spans="2:19" x14ac:dyDescent="0.25">
      <c r="C14" s="16" t="s">
        <v>56</v>
      </c>
      <c r="D14" s="16" t="str">
        <f t="shared" si="0"/>
        <v>MU</v>
      </c>
      <c r="E14" s="16" t="str">
        <f t="shared" si="1"/>
        <v>M</v>
      </c>
      <c r="F14" s="16" t="str">
        <f t="shared" si="2"/>
        <v>AI</v>
      </c>
      <c r="Q14" s="203"/>
    </row>
    <row r="15" spans="2:19" x14ac:dyDescent="0.25">
      <c r="C15" s="16" t="s">
        <v>59</v>
      </c>
      <c r="D15" s="16" t="str">
        <f t="shared" si="0"/>
        <v>UT</v>
      </c>
      <c r="E15" s="16" t="str">
        <f t="shared" si="1"/>
        <v>T</v>
      </c>
      <c r="F15" s="16" t="str">
        <f t="shared" si="2"/>
        <v>SH</v>
      </c>
    </row>
    <row r="23" spans="5:12" x14ac:dyDescent="0.25">
      <c r="J23" s="35" t="s">
        <v>190</v>
      </c>
    </row>
    <row r="27" spans="5:12" x14ac:dyDescent="0.25">
      <c r="E27" t="s">
        <v>191</v>
      </c>
      <c r="J27" t="s">
        <v>195</v>
      </c>
      <c r="K27" t="s">
        <v>196</v>
      </c>
      <c r="L27" t="s">
        <v>197</v>
      </c>
    </row>
    <row r="28" spans="5:12" x14ac:dyDescent="0.25">
      <c r="E28" t="s">
        <v>192</v>
      </c>
      <c r="J28" t="s">
        <v>195</v>
      </c>
      <c r="K28" t="s">
        <v>198</v>
      </c>
      <c r="L28" t="s">
        <v>199</v>
      </c>
    </row>
    <row r="33" spans="5:11" x14ac:dyDescent="0.25">
      <c r="E33" t="s">
        <v>193</v>
      </c>
      <c r="J33" t="s">
        <v>200</v>
      </c>
      <c r="K33" t="s">
        <v>201</v>
      </c>
    </row>
    <row r="34" spans="5:11" x14ac:dyDescent="0.25">
      <c r="E34" t="s">
        <v>194</v>
      </c>
      <c r="J34" t="s">
        <v>202</v>
      </c>
      <c r="K34" t="s">
        <v>203</v>
      </c>
    </row>
  </sheetData>
  <dataConsolidate>
    <dataRefs count="1">
      <dataRef ref="H26:J27" sheet="TEXT SEPERATION"/>
    </dataRefs>
  </dataConsolidate>
  <phoneticPr fontId="2"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BD821-D3F9-4216-9440-2A46AFEA2CED}">
  <sheetPr codeName="Sheet17"/>
  <dimension ref="A5:X36"/>
  <sheetViews>
    <sheetView workbookViewId="0">
      <selection activeCell="G37" sqref="G37"/>
    </sheetView>
  </sheetViews>
  <sheetFormatPr defaultRowHeight="15" x14ac:dyDescent="0.25"/>
  <sheetData>
    <row r="5" spans="1:24" x14ac:dyDescent="0.25">
      <c r="A5" s="242" t="s">
        <v>3</v>
      </c>
      <c r="B5" s="243"/>
    </row>
    <row r="8" spans="1:24" x14ac:dyDescent="0.25">
      <c r="A8" s="54" t="s">
        <v>204</v>
      </c>
      <c r="B8" s="54" t="s">
        <v>205</v>
      </c>
    </row>
    <row r="9" spans="1:24" x14ac:dyDescent="0.25">
      <c r="A9" s="1">
        <f>LARGE($O$9:$X$31,ROW(A1))</f>
        <v>898</v>
      </c>
      <c r="B9" s="1">
        <f>SMALL($O$9:$X$31,ROW(A1))</f>
        <v>308</v>
      </c>
      <c r="O9" s="28">
        <v>661</v>
      </c>
      <c r="P9" s="28">
        <v>588</v>
      </c>
      <c r="Q9" s="28">
        <v>785</v>
      </c>
      <c r="R9" s="28">
        <v>386</v>
      </c>
      <c r="S9" s="28">
        <v>886</v>
      </c>
      <c r="T9" s="28">
        <v>652</v>
      </c>
      <c r="U9" s="28">
        <v>412</v>
      </c>
      <c r="V9" s="28">
        <v>898</v>
      </c>
      <c r="W9" s="28">
        <v>588</v>
      </c>
      <c r="X9" s="28">
        <v>592</v>
      </c>
    </row>
    <row r="10" spans="1:24" x14ac:dyDescent="0.25">
      <c r="A10" s="1">
        <f t="shared" ref="A10:A36" si="0">LARGE($O$9:$X$31,ROW(A2))</f>
        <v>897</v>
      </c>
      <c r="B10" s="1">
        <f t="shared" ref="B10:B36" si="1">SMALL($O$9:$X$31,ROW(A2))</f>
        <v>310</v>
      </c>
      <c r="O10" s="28">
        <v>620</v>
      </c>
      <c r="P10" s="28">
        <v>404</v>
      </c>
      <c r="Q10" s="28">
        <v>313</v>
      </c>
      <c r="R10" s="28">
        <v>571</v>
      </c>
      <c r="S10" s="28">
        <v>396</v>
      </c>
      <c r="T10" s="28">
        <v>806</v>
      </c>
      <c r="U10" s="28">
        <v>481</v>
      </c>
      <c r="V10" s="28">
        <v>656</v>
      </c>
      <c r="W10" s="28">
        <v>620</v>
      </c>
      <c r="X10" s="28">
        <v>879</v>
      </c>
    </row>
    <row r="11" spans="1:24" x14ac:dyDescent="0.25">
      <c r="A11" s="1">
        <f t="shared" si="0"/>
        <v>891</v>
      </c>
      <c r="B11" s="1">
        <f t="shared" si="1"/>
        <v>313</v>
      </c>
      <c r="O11" s="28">
        <v>344</v>
      </c>
      <c r="P11" s="28">
        <v>456</v>
      </c>
      <c r="Q11" s="28">
        <v>761</v>
      </c>
      <c r="R11" s="28">
        <v>479</v>
      </c>
      <c r="S11" s="28">
        <v>308</v>
      </c>
      <c r="T11" s="28">
        <v>700</v>
      </c>
      <c r="U11" s="28">
        <v>310</v>
      </c>
      <c r="V11" s="28">
        <v>694</v>
      </c>
      <c r="W11" s="28">
        <v>655</v>
      </c>
      <c r="X11" s="28">
        <v>554</v>
      </c>
    </row>
    <row r="12" spans="1:24" x14ac:dyDescent="0.25">
      <c r="A12" s="1">
        <f t="shared" si="0"/>
        <v>887</v>
      </c>
      <c r="B12" s="1">
        <f t="shared" si="1"/>
        <v>313</v>
      </c>
      <c r="O12" s="28">
        <v>575</v>
      </c>
      <c r="P12" s="28">
        <v>553</v>
      </c>
      <c r="Q12" s="28">
        <v>827</v>
      </c>
      <c r="R12" s="28">
        <v>801</v>
      </c>
      <c r="S12" s="28">
        <v>414</v>
      </c>
      <c r="T12" s="28">
        <v>810</v>
      </c>
      <c r="U12" s="28">
        <v>550</v>
      </c>
      <c r="V12" s="28">
        <v>395</v>
      </c>
      <c r="W12" s="28">
        <v>372</v>
      </c>
      <c r="X12" s="28">
        <v>734</v>
      </c>
    </row>
    <row r="13" spans="1:24" x14ac:dyDescent="0.25">
      <c r="A13" s="1">
        <f t="shared" si="0"/>
        <v>886</v>
      </c>
      <c r="B13" s="1">
        <f t="shared" si="1"/>
        <v>313</v>
      </c>
      <c r="O13" s="28">
        <v>612</v>
      </c>
      <c r="P13" s="28">
        <v>352</v>
      </c>
      <c r="Q13" s="28">
        <v>854</v>
      </c>
      <c r="R13" s="28">
        <v>848</v>
      </c>
      <c r="S13" s="28">
        <v>443</v>
      </c>
      <c r="T13" s="28">
        <v>339</v>
      </c>
      <c r="U13" s="28">
        <v>453</v>
      </c>
      <c r="V13" s="28">
        <v>607</v>
      </c>
      <c r="W13" s="28">
        <v>658</v>
      </c>
      <c r="X13" s="28">
        <v>768</v>
      </c>
    </row>
    <row r="14" spans="1:24" x14ac:dyDescent="0.25">
      <c r="A14" s="1">
        <f t="shared" si="0"/>
        <v>882</v>
      </c>
      <c r="B14" s="1">
        <f t="shared" si="1"/>
        <v>314</v>
      </c>
      <c r="D14">
        <f>LARGE($O$9:$X$31,COLUMN(A1))</f>
        <v>898</v>
      </c>
      <c r="E14">
        <f t="shared" ref="E14:M14" si="2">LARGE($O$9:$X$31,COLUMN(B1))</f>
        <v>897</v>
      </c>
      <c r="F14">
        <f t="shared" si="2"/>
        <v>891</v>
      </c>
      <c r="G14">
        <f t="shared" si="2"/>
        <v>887</v>
      </c>
      <c r="H14">
        <f t="shared" si="2"/>
        <v>886</v>
      </c>
      <c r="I14">
        <f t="shared" si="2"/>
        <v>882</v>
      </c>
      <c r="J14">
        <f t="shared" si="2"/>
        <v>879</v>
      </c>
      <c r="K14">
        <f t="shared" si="2"/>
        <v>877</v>
      </c>
      <c r="L14">
        <f t="shared" si="2"/>
        <v>874</v>
      </c>
      <c r="M14">
        <f t="shared" si="2"/>
        <v>873</v>
      </c>
      <c r="O14" s="28">
        <v>718</v>
      </c>
      <c r="P14" s="28">
        <v>795</v>
      </c>
      <c r="Q14" s="28">
        <v>638</v>
      </c>
      <c r="R14" s="28">
        <v>369</v>
      </c>
      <c r="S14" s="28">
        <v>836</v>
      </c>
      <c r="T14" s="28">
        <v>641</v>
      </c>
      <c r="U14" s="28">
        <v>758</v>
      </c>
      <c r="V14" s="28">
        <v>843</v>
      </c>
      <c r="W14" s="28">
        <v>805</v>
      </c>
      <c r="X14" s="28">
        <v>821</v>
      </c>
    </row>
    <row r="15" spans="1:24" x14ac:dyDescent="0.25">
      <c r="A15" s="1">
        <f t="shared" si="0"/>
        <v>879</v>
      </c>
      <c r="B15" s="1">
        <f t="shared" si="1"/>
        <v>315</v>
      </c>
      <c r="D15">
        <f>SMALL($O$9:$X$31,COLUMN(A1))</f>
        <v>308</v>
      </c>
      <c r="E15">
        <f t="shared" ref="E15:M15" si="3">SMALL($O$9:$X$31,COLUMN(B1))</f>
        <v>310</v>
      </c>
      <c r="F15">
        <f t="shared" si="3"/>
        <v>313</v>
      </c>
      <c r="G15">
        <f t="shared" si="3"/>
        <v>313</v>
      </c>
      <c r="H15">
        <f t="shared" si="3"/>
        <v>313</v>
      </c>
      <c r="I15">
        <f t="shared" si="3"/>
        <v>314</v>
      </c>
      <c r="J15">
        <f t="shared" si="3"/>
        <v>315</v>
      </c>
      <c r="K15">
        <f t="shared" si="3"/>
        <v>318</v>
      </c>
      <c r="L15">
        <f t="shared" si="3"/>
        <v>322</v>
      </c>
      <c r="M15">
        <f t="shared" si="3"/>
        <v>323</v>
      </c>
      <c r="O15" s="28">
        <v>373</v>
      </c>
      <c r="P15" s="28">
        <v>659</v>
      </c>
      <c r="Q15" s="28">
        <v>339</v>
      </c>
      <c r="R15" s="28">
        <v>438</v>
      </c>
      <c r="S15" s="28">
        <v>555</v>
      </c>
      <c r="T15" s="28">
        <v>454</v>
      </c>
      <c r="U15" s="28">
        <v>364</v>
      </c>
      <c r="V15" s="28">
        <v>392</v>
      </c>
      <c r="W15" s="28">
        <v>732</v>
      </c>
      <c r="X15" s="28">
        <v>605</v>
      </c>
    </row>
    <row r="16" spans="1:24" x14ac:dyDescent="0.25">
      <c r="A16" s="1">
        <f t="shared" si="0"/>
        <v>877</v>
      </c>
      <c r="B16" s="1">
        <f t="shared" si="1"/>
        <v>318</v>
      </c>
      <c r="O16" s="28">
        <v>724</v>
      </c>
      <c r="P16" s="28">
        <v>824</v>
      </c>
      <c r="Q16" s="28">
        <v>438</v>
      </c>
      <c r="R16" s="28">
        <v>821</v>
      </c>
      <c r="S16" s="28">
        <v>322</v>
      </c>
      <c r="T16" s="28">
        <v>848</v>
      </c>
      <c r="U16" s="28">
        <v>837</v>
      </c>
      <c r="V16" s="28">
        <v>891</v>
      </c>
      <c r="W16" s="28">
        <v>426</v>
      </c>
      <c r="X16" s="28">
        <v>408</v>
      </c>
    </row>
    <row r="17" spans="1:24" x14ac:dyDescent="0.25">
      <c r="A17" s="1">
        <f t="shared" si="0"/>
        <v>874</v>
      </c>
      <c r="B17" s="1">
        <f t="shared" si="1"/>
        <v>322</v>
      </c>
      <c r="O17" s="28">
        <v>819</v>
      </c>
      <c r="P17" s="28">
        <v>407</v>
      </c>
      <c r="Q17" s="28">
        <v>591</v>
      </c>
      <c r="R17" s="28">
        <v>341</v>
      </c>
      <c r="S17" s="28">
        <v>599</v>
      </c>
      <c r="T17" s="28">
        <v>323</v>
      </c>
      <c r="U17" s="28">
        <v>642</v>
      </c>
      <c r="V17" s="28">
        <v>788</v>
      </c>
      <c r="W17" s="28">
        <v>394</v>
      </c>
      <c r="X17" s="28">
        <v>318</v>
      </c>
    </row>
    <row r="18" spans="1:24" x14ac:dyDescent="0.25">
      <c r="A18" s="1">
        <f t="shared" si="0"/>
        <v>873</v>
      </c>
      <c r="B18" s="1">
        <f t="shared" si="1"/>
        <v>323</v>
      </c>
      <c r="O18" s="28">
        <v>479</v>
      </c>
      <c r="P18" s="28">
        <v>829</v>
      </c>
      <c r="Q18" s="28">
        <v>701</v>
      </c>
      <c r="R18" s="28">
        <v>664</v>
      </c>
      <c r="S18" s="28">
        <v>727</v>
      </c>
      <c r="T18" s="28">
        <v>496</v>
      </c>
      <c r="U18" s="28">
        <v>480</v>
      </c>
      <c r="V18" s="28">
        <v>843</v>
      </c>
      <c r="W18" s="28">
        <v>743</v>
      </c>
      <c r="X18" s="28">
        <v>547</v>
      </c>
    </row>
    <row r="19" spans="1:24" x14ac:dyDescent="0.25">
      <c r="A19" s="1">
        <f t="shared" si="0"/>
        <v>873</v>
      </c>
      <c r="B19" s="1">
        <f t="shared" si="1"/>
        <v>330</v>
      </c>
      <c r="O19" s="28">
        <v>859</v>
      </c>
      <c r="P19" s="28">
        <v>315</v>
      </c>
      <c r="Q19" s="28">
        <v>364</v>
      </c>
      <c r="R19" s="28">
        <v>384</v>
      </c>
      <c r="S19" s="28">
        <v>561</v>
      </c>
      <c r="T19" s="28">
        <v>447</v>
      </c>
      <c r="U19" s="28">
        <v>356</v>
      </c>
      <c r="V19" s="28">
        <v>459</v>
      </c>
      <c r="W19" s="28">
        <v>811</v>
      </c>
      <c r="X19" s="28">
        <v>868</v>
      </c>
    </row>
    <row r="20" spans="1:24" x14ac:dyDescent="0.25">
      <c r="A20" s="1">
        <f t="shared" si="0"/>
        <v>868</v>
      </c>
      <c r="B20" s="1">
        <f t="shared" si="1"/>
        <v>338</v>
      </c>
      <c r="O20" s="28">
        <v>354</v>
      </c>
      <c r="P20" s="28">
        <v>645</v>
      </c>
      <c r="Q20" s="28">
        <v>464</v>
      </c>
      <c r="R20" s="28">
        <v>551</v>
      </c>
      <c r="S20" s="28">
        <v>540</v>
      </c>
      <c r="T20" s="28">
        <v>788</v>
      </c>
      <c r="U20" s="28">
        <v>407</v>
      </c>
      <c r="V20" s="28">
        <v>506</v>
      </c>
      <c r="W20" s="28">
        <v>344</v>
      </c>
      <c r="X20" s="28">
        <v>418</v>
      </c>
    </row>
    <row r="21" spans="1:24" x14ac:dyDescent="0.25">
      <c r="A21" s="1">
        <f t="shared" si="0"/>
        <v>864</v>
      </c>
      <c r="B21" s="1">
        <f t="shared" si="1"/>
        <v>338</v>
      </c>
      <c r="O21" s="28">
        <v>761</v>
      </c>
      <c r="P21" s="28">
        <v>313</v>
      </c>
      <c r="Q21" s="28">
        <v>338</v>
      </c>
      <c r="R21" s="28">
        <v>427</v>
      </c>
      <c r="S21" s="28">
        <v>419</v>
      </c>
      <c r="T21" s="28">
        <v>578</v>
      </c>
      <c r="U21" s="28">
        <v>360</v>
      </c>
      <c r="V21" s="28">
        <v>566</v>
      </c>
      <c r="W21" s="28">
        <v>557</v>
      </c>
      <c r="X21" s="28">
        <v>482</v>
      </c>
    </row>
    <row r="22" spans="1:24" x14ac:dyDescent="0.25">
      <c r="A22" s="1">
        <f t="shared" si="0"/>
        <v>863</v>
      </c>
      <c r="B22" s="1">
        <f t="shared" si="1"/>
        <v>339</v>
      </c>
      <c r="O22" s="28">
        <v>863</v>
      </c>
      <c r="P22" s="28">
        <v>446</v>
      </c>
      <c r="Q22" s="28">
        <v>584</v>
      </c>
      <c r="R22" s="28">
        <v>564</v>
      </c>
      <c r="S22" s="28">
        <v>386</v>
      </c>
      <c r="T22" s="28">
        <v>783</v>
      </c>
      <c r="U22" s="28">
        <v>418</v>
      </c>
      <c r="V22" s="28">
        <v>877</v>
      </c>
      <c r="W22" s="28">
        <v>347</v>
      </c>
      <c r="X22" s="28">
        <v>453</v>
      </c>
    </row>
    <row r="23" spans="1:24" x14ac:dyDescent="0.25">
      <c r="A23" s="1">
        <f t="shared" si="0"/>
        <v>859</v>
      </c>
      <c r="B23" s="1">
        <f t="shared" si="1"/>
        <v>339</v>
      </c>
      <c r="O23" s="28">
        <v>772</v>
      </c>
      <c r="P23" s="28">
        <v>633</v>
      </c>
      <c r="Q23" s="28">
        <v>744</v>
      </c>
      <c r="R23" s="28">
        <v>873</v>
      </c>
      <c r="S23" s="28">
        <v>858</v>
      </c>
      <c r="T23" s="28">
        <v>650</v>
      </c>
      <c r="U23" s="28">
        <v>746</v>
      </c>
      <c r="V23" s="28">
        <v>673</v>
      </c>
      <c r="W23" s="28">
        <v>515</v>
      </c>
      <c r="X23" s="28">
        <v>437</v>
      </c>
    </row>
    <row r="24" spans="1:24" x14ac:dyDescent="0.25">
      <c r="A24" s="1">
        <f t="shared" si="0"/>
        <v>858</v>
      </c>
      <c r="B24" s="1">
        <f t="shared" si="1"/>
        <v>341</v>
      </c>
      <c r="O24" s="28">
        <v>646</v>
      </c>
      <c r="P24" s="28">
        <v>313</v>
      </c>
      <c r="Q24" s="28">
        <v>768</v>
      </c>
      <c r="R24" s="28">
        <v>565</v>
      </c>
      <c r="S24" s="28">
        <v>647</v>
      </c>
      <c r="T24" s="28">
        <v>593</v>
      </c>
      <c r="U24" s="28">
        <v>401</v>
      </c>
      <c r="V24" s="28">
        <v>541</v>
      </c>
      <c r="W24" s="28">
        <v>846</v>
      </c>
      <c r="X24" s="28">
        <v>887</v>
      </c>
    </row>
    <row r="25" spans="1:24" x14ac:dyDescent="0.25">
      <c r="A25" s="1">
        <f t="shared" si="0"/>
        <v>854</v>
      </c>
      <c r="B25" s="1">
        <f t="shared" si="1"/>
        <v>341</v>
      </c>
      <c r="O25" s="28">
        <v>657</v>
      </c>
      <c r="P25" s="28">
        <v>864</v>
      </c>
      <c r="Q25" s="28">
        <v>350</v>
      </c>
      <c r="R25" s="28">
        <v>761</v>
      </c>
      <c r="S25" s="28">
        <v>697</v>
      </c>
      <c r="T25" s="28">
        <v>727</v>
      </c>
      <c r="U25" s="28">
        <v>697</v>
      </c>
      <c r="V25" s="28">
        <v>447</v>
      </c>
      <c r="W25" s="28">
        <v>437</v>
      </c>
      <c r="X25" s="28">
        <v>836</v>
      </c>
    </row>
    <row r="26" spans="1:24" x14ac:dyDescent="0.25">
      <c r="A26" s="1">
        <f t="shared" si="0"/>
        <v>853</v>
      </c>
      <c r="B26" s="1">
        <f t="shared" si="1"/>
        <v>344</v>
      </c>
      <c r="O26" s="28">
        <v>478</v>
      </c>
      <c r="P26" s="28">
        <v>486</v>
      </c>
      <c r="Q26" s="28">
        <v>338</v>
      </c>
      <c r="R26" s="28">
        <v>761</v>
      </c>
      <c r="S26" s="28">
        <v>314</v>
      </c>
      <c r="T26" s="28">
        <v>480</v>
      </c>
      <c r="U26" s="28">
        <v>553</v>
      </c>
      <c r="V26" s="28">
        <v>732</v>
      </c>
      <c r="W26" s="28">
        <v>723</v>
      </c>
      <c r="X26" s="28">
        <v>460</v>
      </c>
    </row>
    <row r="27" spans="1:24" x14ac:dyDescent="0.25">
      <c r="A27" s="1">
        <f t="shared" si="0"/>
        <v>852</v>
      </c>
      <c r="B27" s="1">
        <f t="shared" si="1"/>
        <v>344</v>
      </c>
      <c r="O27" s="28">
        <v>631</v>
      </c>
      <c r="P27" s="28">
        <v>769</v>
      </c>
      <c r="Q27" s="28">
        <v>874</v>
      </c>
      <c r="R27" s="28">
        <v>433</v>
      </c>
      <c r="S27" s="28">
        <v>584</v>
      </c>
      <c r="T27" s="28">
        <v>897</v>
      </c>
      <c r="U27" s="28">
        <v>403</v>
      </c>
      <c r="V27" s="28">
        <v>703</v>
      </c>
      <c r="W27" s="28">
        <v>790</v>
      </c>
      <c r="X27" s="28">
        <v>817</v>
      </c>
    </row>
    <row r="28" spans="1:24" x14ac:dyDescent="0.25">
      <c r="A28" s="1">
        <f t="shared" si="0"/>
        <v>848</v>
      </c>
      <c r="B28" s="1">
        <f t="shared" si="1"/>
        <v>347</v>
      </c>
      <c r="O28" s="28">
        <v>341</v>
      </c>
      <c r="P28" s="28">
        <v>614</v>
      </c>
      <c r="Q28" s="28">
        <v>431</v>
      </c>
      <c r="R28" s="28">
        <v>801</v>
      </c>
      <c r="S28" s="28">
        <v>882</v>
      </c>
      <c r="T28" s="28">
        <v>841</v>
      </c>
      <c r="U28" s="28">
        <v>597</v>
      </c>
      <c r="V28" s="28">
        <v>529</v>
      </c>
      <c r="W28" s="28">
        <v>504</v>
      </c>
      <c r="X28" s="28">
        <v>528</v>
      </c>
    </row>
    <row r="29" spans="1:24" x14ac:dyDescent="0.25">
      <c r="A29" s="1">
        <f t="shared" si="0"/>
        <v>848</v>
      </c>
      <c r="B29" s="1">
        <f t="shared" si="1"/>
        <v>350</v>
      </c>
      <c r="O29" s="28">
        <v>838</v>
      </c>
      <c r="P29" s="28">
        <v>542</v>
      </c>
      <c r="Q29" s="28">
        <v>553</v>
      </c>
      <c r="R29" s="28">
        <v>493</v>
      </c>
      <c r="S29" s="28">
        <v>660</v>
      </c>
      <c r="T29" s="28">
        <v>489</v>
      </c>
      <c r="U29" s="28">
        <v>425</v>
      </c>
      <c r="V29" s="28">
        <v>636</v>
      </c>
      <c r="W29" s="28">
        <v>873</v>
      </c>
      <c r="X29" s="28">
        <v>732</v>
      </c>
    </row>
    <row r="30" spans="1:24" x14ac:dyDescent="0.25">
      <c r="A30" s="1">
        <f t="shared" si="0"/>
        <v>846</v>
      </c>
      <c r="B30" s="1">
        <f t="shared" si="1"/>
        <v>352</v>
      </c>
      <c r="O30" s="28">
        <v>711</v>
      </c>
      <c r="P30" s="28">
        <v>505</v>
      </c>
      <c r="Q30" s="28">
        <v>679</v>
      </c>
      <c r="R30" s="28">
        <v>405</v>
      </c>
      <c r="S30" s="28">
        <v>461</v>
      </c>
      <c r="T30" s="28">
        <v>358</v>
      </c>
      <c r="U30" s="28">
        <v>533</v>
      </c>
      <c r="V30" s="28">
        <v>733</v>
      </c>
      <c r="W30" s="28">
        <v>354</v>
      </c>
      <c r="X30" s="28">
        <v>460</v>
      </c>
    </row>
    <row r="31" spans="1:24" x14ac:dyDescent="0.25">
      <c r="A31" s="1">
        <f t="shared" si="0"/>
        <v>843</v>
      </c>
      <c r="B31" s="1">
        <f t="shared" si="1"/>
        <v>354</v>
      </c>
      <c r="O31" s="28">
        <v>330</v>
      </c>
      <c r="P31" s="28">
        <v>852</v>
      </c>
      <c r="Q31" s="28">
        <v>493</v>
      </c>
      <c r="R31" s="28">
        <v>853</v>
      </c>
      <c r="S31" s="28">
        <v>558</v>
      </c>
      <c r="T31" s="28">
        <v>646</v>
      </c>
      <c r="U31" s="28">
        <v>569</v>
      </c>
      <c r="V31" s="28">
        <v>775</v>
      </c>
      <c r="W31" s="28">
        <v>577</v>
      </c>
      <c r="X31" s="28">
        <v>735</v>
      </c>
    </row>
    <row r="32" spans="1:24" x14ac:dyDescent="0.25">
      <c r="A32" s="1">
        <f t="shared" si="0"/>
        <v>843</v>
      </c>
      <c r="B32" s="1">
        <f t="shared" si="1"/>
        <v>354</v>
      </c>
      <c r="D32">
        <f t="shared" ref="D32" si="4">SMALL($O$9:$X$31,ROW(A14))</f>
        <v>339</v>
      </c>
    </row>
    <row r="33" spans="1:2" x14ac:dyDescent="0.25">
      <c r="A33" s="1">
        <f t="shared" si="0"/>
        <v>841</v>
      </c>
      <c r="B33" s="1">
        <f t="shared" si="1"/>
        <v>356</v>
      </c>
    </row>
    <row r="34" spans="1:2" x14ac:dyDescent="0.25">
      <c r="A34" s="1">
        <f t="shared" si="0"/>
        <v>838</v>
      </c>
      <c r="B34" s="1">
        <f t="shared" si="1"/>
        <v>358</v>
      </c>
    </row>
    <row r="35" spans="1:2" x14ac:dyDescent="0.25">
      <c r="A35" s="1">
        <f t="shared" si="0"/>
        <v>837</v>
      </c>
      <c r="B35" s="1">
        <f t="shared" si="1"/>
        <v>360</v>
      </c>
    </row>
    <row r="36" spans="1:2" x14ac:dyDescent="0.25">
      <c r="A36" s="1">
        <f t="shared" si="0"/>
        <v>836</v>
      </c>
      <c r="B36" s="1">
        <f t="shared" si="1"/>
        <v>364</v>
      </c>
    </row>
  </sheetData>
  <mergeCells count="1">
    <mergeCell ref="A5:B5"/>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70150-43B6-421A-A427-812956F40E73}">
  <sheetPr codeName="Sheet18"/>
  <dimension ref="C9:P21"/>
  <sheetViews>
    <sheetView workbookViewId="0">
      <selection activeCell="G20" sqref="A1:XFD1048576"/>
    </sheetView>
  </sheetViews>
  <sheetFormatPr defaultRowHeight="15" x14ac:dyDescent="0.25"/>
  <cols>
    <col min="1" max="2" width="9.140625" style="239"/>
    <col min="3" max="3" width="22.42578125" style="239" customWidth="1"/>
    <col min="4" max="4" width="20.85546875" style="239" customWidth="1"/>
    <col min="5" max="16384" width="9.140625" style="239"/>
  </cols>
  <sheetData>
    <row r="9" spans="3:16" x14ac:dyDescent="0.25">
      <c r="C9" s="241" t="s">
        <v>206</v>
      </c>
      <c r="D9" s="241" t="s">
        <v>207</v>
      </c>
      <c r="K9" s="16">
        <v>186</v>
      </c>
      <c r="L9" s="16">
        <v>73</v>
      </c>
      <c r="M9" s="16">
        <v>187</v>
      </c>
      <c r="N9" s="16">
        <v>93</v>
      </c>
      <c r="O9" s="16">
        <v>22</v>
      </c>
      <c r="P9" s="16">
        <v>113</v>
      </c>
    </row>
    <row r="10" spans="3:16" x14ac:dyDescent="0.25">
      <c r="C10" s="239">
        <f>LARGE($K$9:$P$21,ROW(A1))</f>
        <v>199</v>
      </c>
      <c r="D10" s="239">
        <f>SMALL($K$9:$P$21,ROW(A1))</f>
        <v>21</v>
      </c>
      <c r="K10" s="16">
        <v>184</v>
      </c>
      <c r="L10" s="16">
        <v>42</v>
      </c>
      <c r="M10" s="16">
        <v>167</v>
      </c>
      <c r="N10" s="16">
        <v>125</v>
      </c>
      <c r="O10" s="16">
        <v>154</v>
      </c>
      <c r="P10" s="16">
        <v>42</v>
      </c>
    </row>
    <row r="11" spans="3:16" x14ac:dyDescent="0.25">
      <c r="C11" s="239">
        <f t="shared" ref="C11:C16" si="0">LARGE($K$9:$P$21,ROW(A2))</f>
        <v>196</v>
      </c>
      <c r="D11" s="239">
        <f t="shared" ref="D11:D16" si="1">SMALL($K$9:$P$21,ROW(A2))</f>
        <v>22</v>
      </c>
      <c r="K11" s="16">
        <v>156</v>
      </c>
      <c r="L11" s="16">
        <v>137</v>
      </c>
      <c r="M11" s="16">
        <v>53</v>
      </c>
      <c r="N11" s="16">
        <v>45</v>
      </c>
      <c r="O11" s="16">
        <v>196</v>
      </c>
      <c r="P11" s="16">
        <v>135</v>
      </c>
    </row>
    <row r="12" spans="3:16" x14ac:dyDescent="0.25">
      <c r="C12" s="239">
        <f t="shared" si="0"/>
        <v>195</v>
      </c>
      <c r="D12" s="239">
        <f t="shared" si="1"/>
        <v>23</v>
      </c>
      <c r="K12" s="16">
        <v>39</v>
      </c>
      <c r="L12" s="16">
        <v>165</v>
      </c>
      <c r="M12" s="16">
        <v>106</v>
      </c>
      <c r="N12" s="16">
        <v>165</v>
      </c>
      <c r="O12" s="16">
        <v>170</v>
      </c>
      <c r="P12" s="16">
        <v>38</v>
      </c>
    </row>
    <row r="13" spans="3:16" x14ac:dyDescent="0.25">
      <c r="C13" s="239">
        <f t="shared" si="0"/>
        <v>192</v>
      </c>
      <c r="D13" s="239">
        <f t="shared" si="1"/>
        <v>33</v>
      </c>
      <c r="K13" s="16">
        <v>127</v>
      </c>
      <c r="L13" s="16">
        <v>195</v>
      </c>
      <c r="M13" s="16">
        <v>159</v>
      </c>
      <c r="N13" s="16">
        <v>106</v>
      </c>
      <c r="O13" s="16">
        <v>60</v>
      </c>
      <c r="P13" s="16">
        <v>40</v>
      </c>
    </row>
    <row r="14" spans="3:16" x14ac:dyDescent="0.25">
      <c r="C14" s="239">
        <f t="shared" si="0"/>
        <v>192</v>
      </c>
      <c r="D14" s="239">
        <f t="shared" si="1"/>
        <v>38</v>
      </c>
      <c r="K14" s="16">
        <v>79</v>
      </c>
      <c r="L14" s="16">
        <v>136</v>
      </c>
      <c r="M14" s="16">
        <v>90</v>
      </c>
      <c r="N14" s="16">
        <v>79</v>
      </c>
      <c r="O14" s="16">
        <v>166</v>
      </c>
      <c r="P14" s="16">
        <v>199</v>
      </c>
    </row>
    <row r="15" spans="3:16" x14ac:dyDescent="0.25">
      <c r="C15" s="239">
        <f t="shared" si="0"/>
        <v>187</v>
      </c>
      <c r="D15" s="239">
        <f t="shared" si="1"/>
        <v>39</v>
      </c>
      <c r="K15" s="16">
        <v>169</v>
      </c>
      <c r="L15" s="16">
        <v>68</v>
      </c>
      <c r="M15" s="16">
        <v>112</v>
      </c>
      <c r="N15" s="16">
        <v>98</v>
      </c>
      <c r="O15" s="16">
        <v>59</v>
      </c>
      <c r="P15" s="16">
        <v>148</v>
      </c>
    </row>
    <row r="16" spans="3:16" x14ac:dyDescent="0.25">
      <c r="C16" s="239">
        <f t="shared" si="0"/>
        <v>186</v>
      </c>
      <c r="D16" s="239">
        <f t="shared" si="1"/>
        <v>40</v>
      </c>
      <c r="K16" s="16">
        <v>58</v>
      </c>
      <c r="L16" s="16">
        <v>165</v>
      </c>
      <c r="M16" s="16">
        <v>175</v>
      </c>
      <c r="N16" s="16">
        <v>126</v>
      </c>
      <c r="O16" s="16">
        <v>49</v>
      </c>
      <c r="P16" s="16">
        <v>68</v>
      </c>
    </row>
    <row r="17" spans="11:16" x14ac:dyDescent="0.25">
      <c r="K17" s="16">
        <v>153</v>
      </c>
      <c r="L17" s="16">
        <v>44</v>
      </c>
      <c r="M17" s="16">
        <v>92</v>
      </c>
      <c r="N17" s="16">
        <v>112</v>
      </c>
      <c r="O17" s="16">
        <v>155</v>
      </c>
      <c r="P17" s="16">
        <v>33</v>
      </c>
    </row>
    <row r="18" spans="11:16" x14ac:dyDescent="0.25">
      <c r="K18" s="16">
        <v>192</v>
      </c>
      <c r="L18" s="16">
        <v>147</v>
      </c>
      <c r="M18" s="16">
        <v>182</v>
      </c>
      <c r="N18" s="16">
        <v>163</v>
      </c>
      <c r="O18" s="16">
        <v>143</v>
      </c>
      <c r="P18" s="16">
        <v>142</v>
      </c>
    </row>
    <row r="19" spans="11:16" x14ac:dyDescent="0.25">
      <c r="K19" s="16">
        <v>23</v>
      </c>
      <c r="L19" s="16">
        <v>111</v>
      </c>
      <c r="M19" s="16">
        <v>79</v>
      </c>
      <c r="N19" s="16">
        <v>100</v>
      </c>
      <c r="O19" s="16">
        <v>42</v>
      </c>
      <c r="P19" s="16">
        <v>159</v>
      </c>
    </row>
    <row r="20" spans="11:16" x14ac:dyDescent="0.25">
      <c r="K20" s="16">
        <v>78</v>
      </c>
      <c r="L20" s="16">
        <v>174</v>
      </c>
      <c r="M20" s="16">
        <v>141</v>
      </c>
      <c r="N20" s="16">
        <v>90</v>
      </c>
      <c r="O20" s="16">
        <v>58</v>
      </c>
      <c r="P20" s="16">
        <v>113</v>
      </c>
    </row>
    <row r="21" spans="11:16" x14ac:dyDescent="0.25">
      <c r="K21" s="16">
        <v>132</v>
      </c>
      <c r="L21" s="16">
        <v>117</v>
      </c>
      <c r="M21" s="16">
        <v>186</v>
      </c>
      <c r="N21" s="16">
        <v>145</v>
      </c>
      <c r="O21" s="16">
        <v>21</v>
      </c>
      <c r="P21" s="16">
        <v>192</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2971C-21D1-44F0-AC5C-B286B001D125}">
  <sheetPr codeName="Sheet19"/>
  <dimension ref="C9:T38"/>
  <sheetViews>
    <sheetView workbookViewId="0">
      <selection activeCell="M36" sqref="M36"/>
    </sheetView>
  </sheetViews>
  <sheetFormatPr defaultRowHeight="15" x14ac:dyDescent="0.25"/>
  <cols>
    <col min="3" max="3" width="15.7109375" customWidth="1"/>
    <col min="5" max="5" width="12" customWidth="1"/>
    <col min="10" max="10" width="14.140625" customWidth="1"/>
    <col min="11" max="11" width="17" customWidth="1"/>
    <col min="12" max="12" width="14.42578125" customWidth="1"/>
    <col min="13" max="13" width="13.85546875" customWidth="1"/>
    <col min="14" max="14" width="13.140625" customWidth="1"/>
    <col min="19" max="19" width="12.28515625" customWidth="1"/>
    <col min="21" max="21" width="13.42578125" customWidth="1"/>
    <col min="22" max="22" width="11.28515625" customWidth="1"/>
  </cols>
  <sheetData>
    <row r="9" spans="3:20" x14ac:dyDescent="0.25">
      <c r="E9" s="58" t="s">
        <v>208</v>
      </c>
      <c r="R9" s="57" t="s">
        <v>212</v>
      </c>
    </row>
    <row r="11" spans="3:20" x14ac:dyDescent="0.25">
      <c r="C11" s="56" t="s">
        <v>17</v>
      </c>
      <c r="D11" s="56" t="s">
        <v>209</v>
      </c>
      <c r="E11" s="56" t="s">
        <v>26</v>
      </c>
      <c r="F11" s="56" t="s">
        <v>27</v>
      </c>
      <c r="G11" s="56" t="s">
        <v>210</v>
      </c>
      <c r="P11" s="56" t="s">
        <v>17</v>
      </c>
      <c r="Q11" s="56" t="s">
        <v>209</v>
      </c>
      <c r="R11" s="56" t="s">
        <v>26</v>
      </c>
      <c r="S11" s="56" t="s">
        <v>27</v>
      </c>
      <c r="T11" s="56" t="s">
        <v>210</v>
      </c>
    </row>
    <row r="12" spans="3:20" x14ac:dyDescent="0.25">
      <c r="C12" s="1" t="s">
        <v>28</v>
      </c>
      <c r="D12" s="1">
        <v>500</v>
      </c>
      <c r="E12" s="1" t="str">
        <f>IF(D12&gt;300,"PASS","FAIL")</f>
        <v>PASS</v>
      </c>
      <c r="F12" s="1" t="str">
        <f>IF(D12&gt;=500,"A+",IF(D12&gt;400,"B+",IF(D12&gt;300,"C+",IF(D12&gt;200,"D+","FAIL"))))</f>
        <v>A+</v>
      </c>
      <c r="G12" s="1" t="str">
        <f>IF(D12&gt;=500,"FIRST",IF(D12&gt;400,"SECOND",IF(D12&gt;300,"THIRD",IF(D12&gt;200,"FAIL"))))</f>
        <v>FIRST</v>
      </c>
      <c r="P12" s="1" t="s">
        <v>43</v>
      </c>
      <c r="Q12" s="1">
        <v>226</v>
      </c>
      <c r="R12" s="1" t="str">
        <f>IF(Q12&gt;400,"PASS","FAIL")</f>
        <v>FAIL</v>
      </c>
      <c r="S12" s="1" t="str">
        <f>IF(Q12&gt;500,"A+",IF(Q12&gt;400,"B+",IF(Q12&gt;300,"C+","FAIL")))</f>
        <v>FAIL</v>
      </c>
      <c r="T12" s="1" t="str">
        <f>IF(Q12&gt;500,"FIRST",IF(Q12&gt;400,"SECOND",IF(Q12&gt;300,"THIRD","FAIL")))</f>
        <v>FAIL</v>
      </c>
    </row>
    <row r="13" spans="3:20" x14ac:dyDescent="0.25">
      <c r="C13" s="1" t="s">
        <v>29</v>
      </c>
      <c r="D13" s="1">
        <v>214</v>
      </c>
      <c r="E13" s="1" t="str">
        <f t="shared" ref="E13:E17" si="0">IF(D13&gt;300,"PASS","FAIL")</f>
        <v>FAIL</v>
      </c>
      <c r="F13" s="1" t="str">
        <f t="shared" ref="F13:F17" si="1">IF(D13&gt;=500,"A+",IF(D13&gt;400,"B+",IF(D13&gt;300,"C+",IF(D13&gt;200,"D+","FAIL"))))</f>
        <v>D+</v>
      </c>
      <c r="G13" s="1" t="str">
        <f t="shared" ref="G13:G17" si="2">IF(D13&gt;=500,"FIRST",IF(D13&gt;400,"SECOND",IF(D13&gt;300,"THIRD",IF(D13&gt;200,"FAIL"))))</f>
        <v>FAIL</v>
      </c>
      <c r="P13" s="1" t="s">
        <v>34</v>
      </c>
      <c r="Q13" s="1">
        <v>371</v>
      </c>
      <c r="R13" s="1" t="str">
        <f t="shared" ref="R13:R16" si="3">IF(Q13&gt;400,"PASS","FAIL")</f>
        <v>FAIL</v>
      </c>
      <c r="S13" s="1" t="str">
        <f t="shared" ref="S13:S16" si="4">IF(Q13&gt;500,"A+",IF(Q13&gt;400,"B+",IF(Q13&gt;300,"C+","FAIL")))</f>
        <v>C+</v>
      </c>
      <c r="T13" s="1" t="str">
        <f t="shared" ref="T13:T16" si="5">IF(Q13&gt;500,"FIRST",IF(Q13&gt;400,"SECOND",IF(Q13&gt;300,"THIRD","FAIL")))</f>
        <v>THIRD</v>
      </c>
    </row>
    <row r="14" spans="3:20" x14ac:dyDescent="0.25">
      <c r="C14" s="1" t="s">
        <v>32</v>
      </c>
      <c r="D14" s="1">
        <v>471</v>
      </c>
      <c r="E14" s="1" t="str">
        <f t="shared" si="0"/>
        <v>PASS</v>
      </c>
      <c r="F14" s="1" t="str">
        <f t="shared" si="1"/>
        <v>B+</v>
      </c>
      <c r="G14" s="1" t="str">
        <f t="shared" si="2"/>
        <v>SECOND</v>
      </c>
      <c r="P14" s="1" t="s">
        <v>214</v>
      </c>
      <c r="Q14" s="1">
        <v>469</v>
      </c>
      <c r="R14" s="1" t="str">
        <f t="shared" si="3"/>
        <v>PASS</v>
      </c>
      <c r="S14" s="1" t="str">
        <f t="shared" si="4"/>
        <v>B+</v>
      </c>
      <c r="T14" s="1" t="str">
        <f t="shared" si="5"/>
        <v>SECOND</v>
      </c>
    </row>
    <row r="15" spans="3:20" x14ac:dyDescent="0.25">
      <c r="C15" s="1" t="s">
        <v>42</v>
      </c>
      <c r="D15" s="1">
        <v>464</v>
      </c>
      <c r="E15" s="1" t="str">
        <f t="shared" si="0"/>
        <v>PASS</v>
      </c>
      <c r="F15" s="1" t="str">
        <f t="shared" si="1"/>
        <v>B+</v>
      </c>
      <c r="G15" s="1" t="str">
        <f t="shared" si="2"/>
        <v>SECOND</v>
      </c>
      <c r="K15" s="1" t="s">
        <v>211</v>
      </c>
      <c r="L15" s="1"/>
      <c r="P15" s="1" t="s">
        <v>215</v>
      </c>
      <c r="Q15" s="1">
        <v>460</v>
      </c>
      <c r="R15" s="1" t="str">
        <f t="shared" si="3"/>
        <v>PASS</v>
      </c>
      <c r="S15" s="1" t="str">
        <f t="shared" si="4"/>
        <v>B+</v>
      </c>
      <c r="T15" s="1" t="str">
        <f t="shared" si="5"/>
        <v>SECOND</v>
      </c>
    </row>
    <row r="16" spans="3:20" x14ac:dyDescent="0.25">
      <c r="C16" s="1" t="s">
        <v>31</v>
      </c>
      <c r="D16" s="1">
        <v>419</v>
      </c>
      <c r="E16" s="1" t="str">
        <f t="shared" si="0"/>
        <v>PASS</v>
      </c>
      <c r="F16" s="1" t="str">
        <f t="shared" si="1"/>
        <v>B+</v>
      </c>
      <c r="G16" s="1" t="str">
        <f t="shared" si="2"/>
        <v>SECOND</v>
      </c>
      <c r="P16" s="1" t="s">
        <v>40</v>
      </c>
      <c r="Q16" s="1">
        <v>314</v>
      </c>
      <c r="R16" s="1" t="str">
        <f t="shared" si="3"/>
        <v>FAIL</v>
      </c>
      <c r="S16" s="1" t="str">
        <f t="shared" si="4"/>
        <v>C+</v>
      </c>
      <c r="T16" s="1" t="str">
        <f t="shared" si="5"/>
        <v>THIRD</v>
      </c>
    </row>
    <row r="17" spans="3:16" x14ac:dyDescent="0.25">
      <c r="C17" s="1" t="s">
        <v>30</v>
      </c>
      <c r="D17" s="1">
        <v>289</v>
      </c>
      <c r="E17" s="1" t="str">
        <f t="shared" si="0"/>
        <v>FAIL</v>
      </c>
      <c r="F17" s="1" t="str">
        <f t="shared" si="1"/>
        <v>D+</v>
      </c>
      <c r="G17" s="1" t="str">
        <f t="shared" si="2"/>
        <v>FAIL</v>
      </c>
      <c r="J17" s="56" t="s">
        <v>17</v>
      </c>
      <c r="K17" s="56" t="s">
        <v>209</v>
      </c>
      <c r="L17" s="56" t="s">
        <v>26</v>
      </c>
      <c r="M17" s="56" t="s">
        <v>27</v>
      </c>
      <c r="N17" s="56" t="s">
        <v>210</v>
      </c>
    </row>
    <row r="18" spans="3:16" x14ac:dyDescent="0.25">
      <c r="D18" s="1"/>
      <c r="J18" s="1" t="s">
        <v>213</v>
      </c>
      <c r="K18" s="1">
        <v>160</v>
      </c>
      <c r="L18" s="1" t="str">
        <f>IF(K18&gt;200,"PASS","FAIL")</f>
        <v>FAIL</v>
      </c>
      <c r="M18" s="1" t="str">
        <f>IF(K18&gt;500,"A+",IF(K18&gt;400,"B+",IF(K18&gt;300,"C+","FAIL")))</f>
        <v>FAIL</v>
      </c>
      <c r="N18" s="1" t="str">
        <f>IF(K18&gt;500,"FIRST",IF(K18&gt;400,"SECOND",IF(K18&gt;300,"THIRD","FAIL")))</f>
        <v>FAIL</v>
      </c>
    </row>
    <row r="19" spans="3:16" x14ac:dyDescent="0.25">
      <c r="D19" s="1"/>
      <c r="J19" s="1" t="s">
        <v>37</v>
      </c>
      <c r="K19" s="1">
        <v>159</v>
      </c>
      <c r="L19" s="1" t="str">
        <f t="shared" ref="L19:L22" si="6">IF(K19&gt;200,"PASS","FAIL")</f>
        <v>FAIL</v>
      </c>
      <c r="M19" s="1" t="str">
        <f t="shared" ref="M19:M22" si="7">IF(K19&gt;500,"A+",IF(K19&gt;400,"B+",IF(K19&gt;300,"C+","FAIL")))</f>
        <v>FAIL</v>
      </c>
      <c r="N19" s="1" t="str">
        <f t="shared" ref="N19:N22" si="8">IF(K19&gt;500,"FIRST",IF(K19&gt;400,"SECOND",IF(K19&gt;300,"THIRD","FAIL")))</f>
        <v>FAIL</v>
      </c>
    </row>
    <row r="20" spans="3:16" x14ac:dyDescent="0.25">
      <c r="J20" s="1" t="s">
        <v>38</v>
      </c>
      <c r="K20" s="1">
        <v>304</v>
      </c>
      <c r="L20" s="1" t="str">
        <f t="shared" si="6"/>
        <v>PASS</v>
      </c>
      <c r="M20" s="1" t="str">
        <f t="shared" si="7"/>
        <v>C+</v>
      </c>
      <c r="N20" s="1" t="str">
        <f t="shared" si="8"/>
        <v>THIRD</v>
      </c>
    </row>
    <row r="21" spans="3:16" x14ac:dyDescent="0.25">
      <c r="J21" s="1" t="s">
        <v>36</v>
      </c>
      <c r="K21" s="1">
        <v>153</v>
      </c>
      <c r="L21" s="1" t="str">
        <f t="shared" si="6"/>
        <v>FAIL</v>
      </c>
      <c r="M21" s="1" t="str">
        <f t="shared" si="7"/>
        <v>FAIL</v>
      </c>
      <c r="N21" s="1" t="str">
        <f t="shared" si="8"/>
        <v>FAIL</v>
      </c>
    </row>
    <row r="22" spans="3:16" x14ac:dyDescent="0.25">
      <c r="J22" s="1" t="s">
        <v>35</v>
      </c>
      <c r="K22" s="1">
        <v>111</v>
      </c>
      <c r="L22" s="1" t="str">
        <f t="shared" si="6"/>
        <v>FAIL</v>
      </c>
      <c r="M22" s="1" t="str">
        <f t="shared" si="7"/>
        <v>FAIL</v>
      </c>
      <c r="N22" s="1" t="str">
        <f t="shared" si="8"/>
        <v>FAIL</v>
      </c>
    </row>
    <row r="28" spans="3:16" x14ac:dyDescent="0.25">
      <c r="C28" s="59" t="s">
        <v>17</v>
      </c>
      <c r="D28" s="59" t="s">
        <v>210</v>
      </c>
      <c r="L28" s="56" t="s">
        <v>17</v>
      </c>
      <c r="M28" s="56" t="s">
        <v>209</v>
      </c>
      <c r="N28" s="56" t="s">
        <v>26</v>
      </c>
      <c r="O28" s="56" t="s">
        <v>27</v>
      </c>
      <c r="P28" s="56" t="s">
        <v>210</v>
      </c>
    </row>
    <row r="29" spans="3:16" x14ac:dyDescent="0.25">
      <c r="C29" s="1" t="s">
        <v>28</v>
      </c>
      <c r="D29" t="str">
        <f>IFERROR(IFERROR(VLOOKUP($C29,$C$11:$G$17,5,0),VLOOKUP($C29,$J$17:$N$22,5,0)),VLOOKUP($C29,$P$11:$T$16,5,0))</f>
        <v>FIRST</v>
      </c>
      <c r="L29" s="1" t="s">
        <v>29</v>
      </c>
      <c r="M29">
        <f>IFERROR(IFERROR(VLOOKUP($L29,$C$11:$G$17,MATCH(M$28,$C$11:$G$11,0),0),VLOOKUP($L29,$J$17:$N$22,MATCH(M$28,$J$17:$N$17,0),0)),VLOOKUP($L29,$P$11:$T$16,MATCH(M$28,$P$11:$T$11,0),0))</f>
        <v>214</v>
      </c>
      <c r="N29" t="str">
        <f t="shared" ref="N29:P38" si="9">IFERROR(IFERROR(VLOOKUP($L29,$C$11:$G$17,MATCH(N$28,$C$11:$G$11,0),0),VLOOKUP($L29,$J$17:$N$22,MATCH(N$28,$J$17:$N$17,0),0)),VLOOKUP($L29,$P$11:$T$16,MATCH(N$28,$P$11:$T$11,0),0))</f>
        <v>FAIL</v>
      </c>
      <c r="O29" t="str">
        <f t="shared" si="9"/>
        <v>D+</v>
      </c>
      <c r="P29" t="str">
        <f t="shared" si="9"/>
        <v>FAIL</v>
      </c>
    </row>
    <row r="30" spans="3:16" x14ac:dyDescent="0.25">
      <c r="C30" s="1" t="s">
        <v>29</v>
      </c>
      <c r="D30" t="str">
        <f t="shared" ref="D30:D37" si="10">IFERROR(IFERROR(VLOOKUP($C30,$C$11:$G$17,5,0),VLOOKUP($C30,$J$17:$N$22,5,0)),VLOOKUP($C30,$P$11:$T$16,5,0))</f>
        <v>FAIL</v>
      </c>
      <c r="L30" s="1" t="s">
        <v>32</v>
      </c>
      <c r="M30">
        <f t="shared" ref="M30:M38" si="11">IFERROR(IFERROR(VLOOKUP($L30,$C$11:$G$17,MATCH(M$28,$C$11:$G$11,0),0),VLOOKUP($L30,$J$17:$N$22,MATCH(M$28,$J$17:$N$17,0),0)),VLOOKUP($L30,$P$11:$T$16,MATCH(M$28,$P$11:$T$11,0),0))</f>
        <v>471</v>
      </c>
      <c r="N30" t="str">
        <f t="shared" si="9"/>
        <v>PASS</v>
      </c>
      <c r="O30" t="str">
        <f t="shared" si="9"/>
        <v>B+</v>
      </c>
      <c r="P30" t="str">
        <f t="shared" si="9"/>
        <v>SECOND</v>
      </c>
    </row>
    <row r="31" spans="3:16" x14ac:dyDescent="0.25">
      <c r="C31" s="1" t="s">
        <v>32</v>
      </c>
      <c r="D31" t="str">
        <f t="shared" si="10"/>
        <v>SECOND</v>
      </c>
      <c r="L31" s="1" t="s">
        <v>42</v>
      </c>
      <c r="M31">
        <f t="shared" si="11"/>
        <v>464</v>
      </c>
      <c r="N31" t="str">
        <f t="shared" si="9"/>
        <v>PASS</v>
      </c>
      <c r="O31" t="str">
        <f t="shared" si="9"/>
        <v>B+</v>
      </c>
      <c r="P31" t="str">
        <f t="shared" si="9"/>
        <v>SECOND</v>
      </c>
    </row>
    <row r="32" spans="3:16" x14ac:dyDescent="0.25">
      <c r="C32" s="1" t="s">
        <v>213</v>
      </c>
      <c r="D32" t="str">
        <f t="shared" si="10"/>
        <v>FAIL</v>
      </c>
      <c r="L32" s="1" t="s">
        <v>31</v>
      </c>
      <c r="M32">
        <f t="shared" si="11"/>
        <v>419</v>
      </c>
      <c r="N32" t="str">
        <f t="shared" si="9"/>
        <v>PASS</v>
      </c>
      <c r="O32" t="str">
        <f t="shared" si="9"/>
        <v>B+</v>
      </c>
      <c r="P32" t="str">
        <f t="shared" si="9"/>
        <v>SECOND</v>
      </c>
    </row>
    <row r="33" spans="3:16" x14ac:dyDescent="0.25">
      <c r="C33" s="1" t="s">
        <v>37</v>
      </c>
      <c r="D33" t="str">
        <f t="shared" si="10"/>
        <v>FAIL</v>
      </c>
      <c r="L33" s="1" t="s">
        <v>30</v>
      </c>
      <c r="M33">
        <f t="shared" si="11"/>
        <v>289</v>
      </c>
      <c r="N33" t="str">
        <f t="shared" si="9"/>
        <v>FAIL</v>
      </c>
      <c r="O33" t="str">
        <f t="shared" si="9"/>
        <v>D+</v>
      </c>
      <c r="P33" t="str">
        <f t="shared" si="9"/>
        <v>FAIL</v>
      </c>
    </row>
    <row r="34" spans="3:16" x14ac:dyDescent="0.25">
      <c r="C34" s="1" t="s">
        <v>38</v>
      </c>
      <c r="D34" t="str">
        <f t="shared" si="10"/>
        <v>THIRD</v>
      </c>
      <c r="L34" s="1" t="s">
        <v>38</v>
      </c>
      <c r="M34">
        <f t="shared" si="11"/>
        <v>304</v>
      </c>
      <c r="N34" t="str">
        <f t="shared" si="9"/>
        <v>PASS</v>
      </c>
      <c r="O34" t="str">
        <f t="shared" si="9"/>
        <v>C+</v>
      </c>
      <c r="P34" t="str">
        <f t="shared" si="9"/>
        <v>THIRD</v>
      </c>
    </row>
    <row r="35" spans="3:16" x14ac:dyDescent="0.25">
      <c r="C35" s="1" t="s">
        <v>214</v>
      </c>
      <c r="D35" t="str">
        <f t="shared" si="10"/>
        <v>SECOND</v>
      </c>
      <c r="L35" s="1" t="s">
        <v>36</v>
      </c>
      <c r="M35">
        <f t="shared" si="11"/>
        <v>153</v>
      </c>
      <c r="N35" t="str">
        <f t="shared" si="9"/>
        <v>FAIL</v>
      </c>
      <c r="O35" t="str">
        <f t="shared" si="9"/>
        <v>FAIL</v>
      </c>
      <c r="P35" t="str">
        <f t="shared" si="9"/>
        <v>FAIL</v>
      </c>
    </row>
    <row r="36" spans="3:16" x14ac:dyDescent="0.25">
      <c r="C36" s="1" t="s">
        <v>215</v>
      </c>
      <c r="D36" t="str">
        <f t="shared" si="10"/>
        <v>SECOND</v>
      </c>
      <c r="L36" s="1" t="s">
        <v>35</v>
      </c>
      <c r="M36">
        <f t="shared" si="11"/>
        <v>111</v>
      </c>
      <c r="N36" t="str">
        <f t="shared" si="9"/>
        <v>FAIL</v>
      </c>
      <c r="O36" t="str">
        <f t="shared" si="9"/>
        <v>FAIL</v>
      </c>
      <c r="P36" t="str">
        <f t="shared" si="9"/>
        <v>FAIL</v>
      </c>
    </row>
    <row r="37" spans="3:16" x14ac:dyDescent="0.25">
      <c r="C37" s="1" t="s">
        <v>40</v>
      </c>
      <c r="D37" t="str">
        <f t="shared" si="10"/>
        <v>THIRD</v>
      </c>
      <c r="L37" s="1" t="s">
        <v>43</v>
      </c>
      <c r="M37">
        <f t="shared" si="11"/>
        <v>226</v>
      </c>
      <c r="N37" t="str">
        <f t="shared" si="9"/>
        <v>FAIL</v>
      </c>
      <c r="O37" t="str">
        <f t="shared" si="9"/>
        <v>FAIL</v>
      </c>
      <c r="P37" t="str">
        <f t="shared" si="9"/>
        <v>FAIL</v>
      </c>
    </row>
    <row r="38" spans="3:16" x14ac:dyDescent="0.25">
      <c r="L38" s="1" t="s">
        <v>34</v>
      </c>
      <c r="M38">
        <f t="shared" si="11"/>
        <v>371</v>
      </c>
      <c r="N38" t="str">
        <f t="shared" si="9"/>
        <v>FAIL</v>
      </c>
      <c r="O38" t="str">
        <f t="shared" si="9"/>
        <v>C+</v>
      </c>
      <c r="P38" t="str">
        <f t="shared" si="9"/>
        <v>THIRD</v>
      </c>
    </row>
  </sheetData>
  <phoneticPr fontId="2"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234D8-C9CA-455C-8BD2-E446DE4B9759}">
  <sheetPr codeName="Sheet20"/>
  <dimension ref="B9:P34"/>
  <sheetViews>
    <sheetView workbookViewId="0">
      <selection activeCell="D15" sqref="D15"/>
    </sheetView>
  </sheetViews>
  <sheetFormatPr defaultRowHeight="15" x14ac:dyDescent="0.25"/>
  <cols>
    <col min="2" max="2" width="19.5703125" customWidth="1"/>
    <col min="3" max="3" width="15.140625" customWidth="1"/>
    <col min="4" max="4" width="18.7109375" customWidth="1"/>
    <col min="5" max="5" width="11.140625" customWidth="1"/>
    <col min="6" max="6" width="13.42578125" customWidth="1"/>
    <col min="7" max="7" width="10.42578125" customWidth="1"/>
    <col min="8" max="8" width="13.42578125" customWidth="1"/>
    <col min="13" max="13" width="15.42578125" customWidth="1"/>
    <col min="14" max="14" width="11.28515625" customWidth="1"/>
    <col min="15" max="15" width="14.28515625" customWidth="1"/>
    <col min="16" max="16" width="13.85546875" customWidth="1"/>
  </cols>
  <sheetData>
    <row r="9" spans="2:16" x14ac:dyDescent="0.25">
      <c r="B9" s="216" t="s">
        <v>216</v>
      </c>
      <c r="C9" s="69">
        <v>0.15</v>
      </c>
      <c r="L9" s="244" t="s">
        <v>232</v>
      </c>
      <c r="M9" s="244"/>
    </row>
    <row r="11" spans="2:16" x14ac:dyDescent="0.25">
      <c r="B11" s="61" t="s">
        <v>17</v>
      </c>
      <c r="C11" s="61" t="s">
        <v>121</v>
      </c>
      <c r="D11" s="60" t="s">
        <v>217</v>
      </c>
      <c r="L11" s="66" t="s">
        <v>17</v>
      </c>
      <c r="M11" s="66" t="s">
        <v>209</v>
      </c>
      <c r="N11" s="66" t="s">
        <v>209</v>
      </c>
      <c r="O11" s="66" t="s">
        <v>230</v>
      </c>
      <c r="P11" s="66" t="s">
        <v>231</v>
      </c>
    </row>
    <row r="12" spans="2:16" x14ac:dyDescent="0.25">
      <c r="B12" s="1" t="s">
        <v>28</v>
      </c>
      <c r="C12" s="1">
        <v>563</v>
      </c>
      <c r="D12">
        <f>IF(C12&gt;500,C12*15%,"")</f>
        <v>84.45</v>
      </c>
      <c r="L12" t="s">
        <v>28</v>
      </c>
      <c r="M12" s="64">
        <v>40</v>
      </c>
      <c r="N12" s="64">
        <v>58</v>
      </c>
      <c r="O12" t="str">
        <f>IF(AND(M12&gt;50,N12&gt;50),"PASS","FAIL")</f>
        <v>FAIL</v>
      </c>
      <c r="P12" t="str">
        <f>IF(OR(M12&gt;50,N12&gt;50),"PASS","FAIL")</f>
        <v>PASS</v>
      </c>
    </row>
    <row r="13" spans="2:16" x14ac:dyDescent="0.25">
      <c r="B13" s="1" t="s">
        <v>29</v>
      </c>
      <c r="C13" s="1">
        <v>387</v>
      </c>
      <c r="D13" t="str">
        <f t="shared" ref="D13:D16" si="0">IF(C13&gt;500,C13*15%,"")</f>
        <v/>
      </c>
      <c r="L13" t="s">
        <v>29</v>
      </c>
      <c r="M13" s="64">
        <v>32</v>
      </c>
      <c r="N13" s="64">
        <v>44</v>
      </c>
      <c r="O13" t="str">
        <f t="shared" ref="O13:O16" si="1">IF(AND(M13&gt;50,N13&gt;50),"PASS","FAIL")</f>
        <v>FAIL</v>
      </c>
      <c r="P13" t="str">
        <f t="shared" ref="P13:P16" si="2">IF(OR(M13&gt;50,N13&gt;50),"PASS","FAIL")</f>
        <v>FAIL</v>
      </c>
    </row>
    <row r="14" spans="2:16" x14ac:dyDescent="0.25">
      <c r="B14" s="1" t="s">
        <v>32</v>
      </c>
      <c r="C14" s="1">
        <v>250</v>
      </c>
      <c r="D14" t="str">
        <f t="shared" si="0"/>
        <v/>
      </c>
      <c r="L14" t="s">
        <v>32</v>
      </c>
      <c r="M14" s="64">
        <v>53</v>
      </c>
      <c r="N14" s="64">
        <v>67</v>
      </c>
      <c r="O14" t="str">
        <f t="shared" si="1"/>
        <v>PASS</v>
      </c>
      <c r="P14" t="str">
        <f t="shared" si="2"/>
        <v>PASS</v>
      </c>
    </row>
    <row r="15" spans="2:16" x14ac:dyDescent="0.25">
      <c r="B15" s="1" t="s">
        <v>42</v>
      </c>
      <c r="C15" s="1">
        <v>566</v>
      </c>
      <c r="D15">
        <f t="shared" si="0"/>
        <v>84.899999999999991</v>
      </c>
      <c r="L15" t="s">
        <v>42</v>
      </c>
      <c r="M15" s="64">
        <v>30</v>
      </c>
      <c r="N15" s="64">
        <v>35</v>
      </c>
      <c r="O15" t="str">
        <f t="shared" si="1"/>
        <v>FAIL</v>
      </c>
      <c r="P15" t="str">
        <f t="shared" si="2"/>
        <v>FAIL</v>
      </c>
    </row>
    <row r="16" spans="2:16" x14ac:dyDescent="0.25">
      <c r="B16" s="1" t="s">
        <v>31</v>
      </c>
      <c r="C16" s="1">
        <v>564</v>
      </c>
      <c r="D16">
        <f t="shared" si="0"/>
        <v>84.6</v>
      </c>
      <c r="L16" t="s">
        <v>31</v>
      </c>
      <c r="M16" s="64">
        <v>46</v>
      </c>
      <c r="N16" s="64">
        <v>66</v>
      </c>
      <c r="O16" t="str">
        <f t="shared" si="1"/>
        <v>FAIL</v>
      </c>
      <c r="P16" t="str">
        <f t="shared" si="2"/>
        <v>PASS</v>
      </c>
    </row>
    <row r="21" spans="2:15" x14ac:dyDescent="0.25">
      <c r="B21" s="244" t="s">
        <v>234</v>
      </c>
      <c r="C21" s="244"/>
      <c r="D21" s="244"/>
    </row>
    <row r="22" spans="2:15" x14ac:dyDescent="0.25">
      <c r="O22" s="64"/>
    </row>
    <row r="24" spans="2:15" x14ac:dyDescent="0.25">
      <c r="B24" s="65" t="s">
        <v>154</v>
      </c>
      <c r="C24" s="66" t="s">
        <v>233</v>
      </c>
      <c r="D24" s="66" t="s">
        <v>147</v>
      </c>
      <c r="E24" s="66" t="s">
        <v>146</v>
      </c>
      <c r="F24" s="66" t="s">
        <v>223</v>
      </c>
      <c r="G24" s="66" t="s">
        <v>235</v>
      </c>
      <c r="H24" s="66" t="s">
        <v>236</v>
      </c>
    </row>
    <row r="25" spans="2:15" x14ac:dyDescent="0.25">
      <c r="B25" s="64">
        <v>1</v>
      </c>
      <c r="C25" s="64">
        <v>675</v>
      </c>
      <c r="D25" s="64">
        <v>472</v>
      </c>
      <c r="E25" s="64">
        <v>628</v>
      </c>
      <c r="F25" s="64">
        <f>SUM(B25:E25)</f>
        <v>1776</v>
      </c>
      <c r="G25" s="64" t="str">
        <f>IF(AND(C25&gt;500,D25&gt;500,E25&gt;500),F25*5%,"")</f>
        <v/>
      </c>
      <c r="H25" s="64">
        <f>IF(OR(C25&gt;500,D25&gt;500,E25&gt;500),F25*5%,"")</f>
        <v>88.800000000000011</v>
      </c>
    </row>
    <row r="26" spans="2:15" x14ac:dyDescent="0.25">
      <c r="B26" s="64">
        <v>2</v>
      </c>
      <c r="C26" s="64">
        <v>773</v>
      </c>
      <c r="D26" s="64">
        <v>594</v>
      </c>
      <c r="E26" s="64">
        <v>514</v>
      </c>
      <c r="F26" s="64">
        <f t="shared" ref="F26:F34" si="3">SUM(B26:E26)</f>
        <v>1883</v>
      </c>
      <c r="G26" s="221">
        <f t="shared" ref="G26:G34" si="4">IF(AND(C26&gt;500,D26&gt;500,E26&gt;500),F26*5%,"")</f>
        <v>94.15</v>
      </c>
      <c r="H26" s="221">
        <f t="shared" ref="H26:H34" si="5">IF(OR(C26&gt;500,D26&gt;500,E26&gt;500),F26*5%,"")</f>
        <v>94.15</v>
      </c>
    </row>
    <row r="27" spans="2:15" x14ac:dyDescent="0.25">
      <c r="B27" s="64">
        <v>3</v>
      </c>
      <c r="C27" s="64">
        <v>873</v>
      </c>
      <c r="D27" s="64">
        <v>875</v>
      </c>
      <c r="E27" s="64">
        <v>780</v>
      </c>
      <c r="F27" s="64">
        <f t="shared" si="3"/>
        <v>2531</v>
      </c>
      <c r="G27" s="221">
        <f t="shared" si="4"/>
        <v>126.55000000000001</v>
      </c>
      <c r="H27" s="221">
        <f t="shared" si="5"/>
        <v>126.55000000000001</v>
      </c>
    </row>
    <row r="28" spans="2:15" x14ac:dyDescent="0.25">
      <c r="B28" s="64">
        <v>4</v>
      </c>
      <c r="C28" s="64">
        <v>373</v>
      </c>
      <c r="D28" s="64">
        <v>693</v>
      </c>
      <c r="E28" s="64">
        <v>511</v>
      </c>
      <c r="F28" s="64">
        <f t="shared" si="3"/>
        <v>1581</v>
      </c>
      <c r="G28" s="221" t="str">
        <f t="shared" si="4"/>
        <v/>
      </c>
      <c r="H28" s="221">
        <f t="shared" si="5"/>
        <v>79.050000000000011</v>
      </c>
    </row>
    <row r="29" spans="2:15" x14ac:dyDescent="0.25">
      <c r="B29" s="64">
        <v>5</v>
      </c>
      <c r="C29" s="64">
        <v>496</v>
      </c>
      <c r="D29" s="64">
        <v>331</v>
      </c>
      <c r="E29" s="64">
        <v>392</v>
      </c>
      <c r="F29" s="64">
        <f t="shared" si="3"/>
        <v>1224</v>
      </c>
      <c r="G29" s="221" t="str">
        <f t="shared" si="4"/>
        <v/>
      </c>
      <c r="H29" s="221" t="str">
        <f t="shared" si="5"/>
        <v/>
      </c>
    </row>
    <row r="30" spans="2:15" x14ac:dyDescent="0.25">
      <c r="B30" s="64">
        <v>6</v>
      </c>
      <c r="C30" s="64">
        <v>513</v>
      </c>
      <c r="D30" s="64">
        <v>338</v>
      </c>
      <c r="E30" s="64">
        <v>383</v>
      </c>
      <c r="F30" s="64">
        <f t="shared" si="3"/>
        <v>1240</v>
      </c>
      <c r="G30" s="221" t="str">
        <f t="shared" si="4"/>
        <v/>
      </c>
      <c r="H30" s="221">
        <f t="shared" si="5"/>
        <v>62</v>
      </c>
    </row>
    <row r="31" spans="2:15" x14ac:dyDescent="0.25">
      <c r="B31" s="64">
        <v>7</v>
      </c>
      <c r="C31" s="64">
        <v>605</v>
      </c>
      <c r="D31" s="64">
        <v>607</v>
      </c>
      <c r="E31" s="64">
        <v>510</v>
      </c>
      <c r="F31" s="64">
        <f t="shared" si="3"/>
        <v>1729</v>
      </c>
      <c r="G31" s="221">
        <f t="shared" si="4"/>
        <v>86.45</v>
      </c>
      <c r="H31" s="221">
        <f t="shared" si="5"/>
        <v>86.45</v>
      </c>
    </row>
    <row r="32" spans="2:15" x14ac:dyDescent="0.25">
      <c r="B32" s="64">
        <v>8</v>
      </c>
      <c r="C32" s="64">
        <v>855</v>
      </c>
      <c r="D32" s="64">
        <v>812</v>
      </c>
      <c r="E32" s="64">
        <v>832</v>
      </c>
      <c r="F32" s="64">
        <f t="shared" si="3"/>
        <v>2507</v>
      </c>
      <c r="G32" s="221">
        <f t="shared" si="4"/>
        <v>125.35000000000001</v>
      </c>
      <c r="H32" s="221">
        <f t="shared" si="5"/>
        <v>125.35000000000001</v>
      </c>
    </row>
    <row r="33" spans="2:8" x14ac:dyDescent="0.25">
      <c r="B33" s="64">
        <v>9</v>
      </c>
      <c r="C33" s="64">
        <v>702</v>
      </c>
      <c r="D33" s="64">
        <v>578</v>
      </c>
      <c r="E33" s="64">
        <v>883</v>
      </c>
      <c r="F33" s="64">
        <f t="shared" si="3"/>
        <v>2172</v>
      </c>
      <c r="G33" s="221">
        <f t="shared" si="4"/>
        <v>108.60000000000001</v>
      </c>
      <c r="H33" s="221">
        <f t="shared" si="5"/>
        <v>108.60000000000001</v>
      </c>
    </row>
    <row r="34" spans="2:8" x14ac:dyDescent="0.25">
      <c r="B34" s="64">
        <v>10</v>
      </c>
      <c r="C34" s="64">
        <v>668</v>
      </c>
      <c r="D34" s="64">
        <v>745</v>
      </c>
      <c r="E34" s="64">
        <v>743</v>
      </c>
      <c r="F34" s="64">
        <f t="shared" si="3"/>
        <v>2166</v>
      </c>
      <c r="G34" s="221">
        <f t="shared" si="4"/>
        <v>108.30000000000001</v>
      </c>
      <c r="H34" s="221">
        <f t="shared" si="5"/>
        <v>108.30000000000001</v>
      </c>
    </row>
  </sheetData>
  <mergeCells count="2">
    <mergeCell ref="L9:M9"/>
    <mergeCell ref="B21:D21"/>
  </mergeCells>
  <phoneticPr fontId="2" type="noConversion"/>
  <conditionalFormatting sqref="G25:H34">
    <cfRule type="dataBar" priority="1">
      <dataBar>
        <cfvo type="min"/>
        <cfvo type="max"/>
        <color rgb="FFFFB628"/>
      </dataBar>
      <extLst>
        <ext xmlns:x14="http://schemas.microsoft.com/office/spreadsheetml/2009/9/main" uri="{B025F937-C7B1-47D3-B67F-A62EFF666E3E}">
          <x14:id>{0DF09822-1262-469D-911C-924114582955}</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0DF09822-1262-469D-911C-924114582955}">
            <x14:dataBar minLength="0" maxLength="100" border="1" negativeBarBorderColorSameAsPositive="0">
              <x14:cfvo type="autoMin"/>
              <x14:cfvo type="autoMax"/>
              <x14:borderColor rgb="FFFFB628"/>
              <x14:negativeFillColor rgb="FFFF0000"/>
              <x14:negativeBorderColor rgb="FFFF0000"/>
              <x14:axisColor rgb="FF000000"/>
            </x14:dataBar>
          </x14:cfRule>
          <xm:sqref>G25:H34</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1447B-74A0-47BF-9F5C-4806180A271B}">
  <sheetPr codeName="Sheet21"/>
  <dimension ref="B8:N37"/>
  <sheetViews>
    <sheetView workbookViewId="0">
      <selection activeCell="L38" sqref="L38"/>
    </sheetView>
  </sheetViews>
  <sheetFormatPr defaultRowHeight="15" x14ac:dyDescent="0.25"/>
  <cols>
    <col min="2" max="2" width="12.5703125" customWidth="1"/>
    <col min="3" max="3" width="12.28515625" customWidth="1"/>
    <col min="4" max="4" width="13.7109375" customWidth="1"/>
    <col min="5" max="5" width="12.5703125" customWidth="1"/>
    <col min="6" max="6" width="17" customWidth="1"/>
    <col min="7" max="7" width="11.5703125" customWidth="1"/>
    <col min="8" max="8" width="11.85546875" customWidth="1"/>
    <col min="9" max="9" width="12.5703125" customWidth="1"/>
    <col min="10" max="10" width="13.140625" customWidth="1"/>
    <col min="14" max="14" width="63.42578125" customWidth="1"/>
  </cols>
  <sheetData>
    <row r="8" spans="2:14" x14ac:dyDescent="0.25">
      <c r="B8" s="62" t="s">
        <v>218</v>
      </c>
      <c r="C8" s="62" t="s">
        <v>122</v>
      </c>
      <c r="D8" s="62" t="s">
        <v>219</v>
      </c>
      <c r="E8" s="62" t="s">
        <v>220</v>
      </c>
      <c r="F8" s="62" t="s">
        <v>17</v>
      </c>
      <c r="G8" s="62" t="s">
        <v>125</v>
      </c>
      <c r="H8" s="62" t="s">
        <v>221</v>
      </c>
      <c r="I8" s="62" t="s">
        <v>222</v>
      </c>
      <c r="J8" s="62" t="s">
        <v>223</v>
      </c>
    </row>
    <row r="9" spans="2:14" x14ac:dyDescent="0.25">
      <c r="B9" s="1" t="s">
        <v>224</v>
      </c>
      <c r="C9" s="32">
        <v>45638</v>
      </c>
      <c r="D9" s="1" t="s">
        <v>227</v>
      </c>
      <c r="E9" s="1">
        <v>69</v>
      </c>
      <c r="F9" s="1" t="s">
        <v>28</v>
      </c>
      <c r="G9" s="1">
        <v>64</v>
      </c>
      <c r="H9" s="1">
        <v>297</v>
      </c>
      <c r="I9" s="1">
        <v>4960</v>
      </c>
      <c r="J9" s="1">
        <v>4008</v>
      </c>
    </row>
    <row r="10" spans="2:14" x14ac:dyDescent="0.25">
      <c r="B10" s="1" t="s">
        <v>225</v>
      </c>
      <c r="C10" s="32">
        <v>45639</v>
      </c>
      <c r="D10" s="1" t="s">
        <v>228</v>
      </c>
      <c r="E10" s="1">
        <v>57</v>
      </c>
      <c r="F10" s="1" t="s">
        <v>29</v>
      </c>
      <c r="G10" s="1">
        <v>35</v>
      </c>
      <c r="H10" s="1">
        <v>652</v>
      </c>
      <c r="I10" s="1">
        <v>5000</v>
      </c>
      <c r="J10" s="1">
        <v>2998</v>
      </c>
    </row>
    <row r="11" spans="2:14" x14ac:dyDescent="0.25">
      <c r="B11" s="1" t="s">
        <v>226</v>
      </c>
      <c r="C11" s="32">
        <v>45640</v>
      </c>
      <c r="D11" s="1" t="s">
        <v>229</v>
      </c>
      <c r="E11" s="1">
        <v>70</v>
      </c>
      <c r="F11" s="1" t="s">
        <v>32</v>
      </c>
      <c r="G11" s="1">
        <v>37</v>
      </c>
      <c r="H11" s="1">
        <v>824</v>
      </c>
      <c r="I11" s="1">
        <v>2278</v>
      </c>
      <c r="J11" s="1">
        <v>2621</v>
      </c>
    </row>
    <row r="12" spans="2:14" x14ac:dyDescent="0.25">
      <c r="B12" s="1" t="s">
        <v>225</v>
      </c>
      <c r="C12" s="32">
        <v>45641</v>
      </c>
      <c r="D12" s="1" t="s">
        <v>227</v>
      </c>
      <c r="E12" s="1">
        <v>80</v>
      </c>
      <c r="F12" s="1" t="s">
        <v>42</v>
      </c>
      <c r="G12" s="1">
        <v>51</v>
      </c>
      <c r="H12" s="1">
        <v>810</v>
      </c>
      <c r="I12" s="1">
        <v>2816</v>
      </c>
      <c r="J12" s="1">
        <v>3564</v>
      </c>
      <c r="N12" s="70" t="s">
        <v>237</v>
      </c>
    </row>
    <row r="13" spans="2:14" x14ac:dyDescent="0.25">
      <c r="B13" s="1" t="s">
        <v>225</v>
      </c>
      <c r="C13" s="32">
        <v>45642</v>
      </c>
      <c r="D13" s="1" t="s">
        <v>228</v>
      </c>
      <c r="E13" s="1">
        <v>68</v>
      </c>
      <c r="F13" s="1" t="s">
        <v>31</v>
      </c>
      <c r="G13" s="1">
        <v>25</v>
      </c>
      <c r="H13" s="1">
        <v>247</v>
      </c>
      <c r="I13" s="1">
        <v>3318</v>
      </c>
      <c r="J13" s="1">
        <v>4257</v>
      </c>
      <c r="N13" s="70" t="s">
        <v>238</v>
      </c>
    </row>
    <row r="14" spans="2:14" x14ac:dyDescent="0.25">
      <c r="B14" s="1" t="s">
        <v>224</v>
      </c>
      <c r="C14" s="32">
        <v>45643</v>
      </c>
      <c r="D14" s="1" t="s">
        <v>229</v>
      </c>
      <c r="E14" s="1">
        <v>78</v>
      </c>
      <c r="F14" s="1" t="s">
        <v>29</v>
      </c>
      <c r="G14" s="1">
        <v>62</v>
      </c>
      <c r="H14" s="1">
        <v>523</v>
      </c>
      <c r="I14" s="1">
        <v>2083</v>
      </c>
      <c r="J14" s="1">
        <v>6673</v>
      </c>
      <c r="N14" s="70" t="s">
        <v>239</v>
      </c>
    </row>
    <row r="15" spans="2:14" x14ac:dyDescent="0.25">
      <c r="B15" s="1" t="s">
        <v>226</v>
      </c>
      <c r="C15" s="32">
        <v>45644</v>
      </c>
      <c r="D15" s="1" t="s">
        <v>227</v>
      </c>
      <c r="E15" s="1">
        <v>71</v>
      </c>
      <c r="F15" s="1" t="s">
        <v>43</v>
      </c>
      <c r="G15" s="1">
        <v>66</v>
      </c>
      <c r="H15" s="1">
        <v>344</v>
      </c>
      <c r="I15" s="1">
        <v>3105</v>
      </c>
      <c r="J15" s="1">
        <v>5700</v>
      </c>
      <c r="N15" s="70" t="s">
        <v>240</v>
      </c>
    </row>
    <row r="16" spans="2:14" x14ac:dyDescent="0.25">
      <c r="B16" s="1" t="s">
        <v>225</v>
      </c>
      <c r="C16" s="32">
        <v>45645</v>
      </c>
      <c r="D16" s="1" t="s">
        <v>228</v>
      </c>
      <c r="E16" s="1">
        <v>49</v>
      </c>
      <c r="F16" s="1" t="s">
        <v>30</v>
      </c>
      <c r="G16" s="1">
        <v>49</v>
      </c>
      <c r="H16" s="1">
        <v>841</v>
      </c>
      <c r="I16" s="1">
        <v>2859</v>
      </c>
      <c r="J16" s="1">
        <v>2273</v>
      </c>
      <c r="N16" s="70" t="s">
        <v>241</v>
      </c>
    </row>
    <row r="17" spans="2:14" x14ac:dyDescent="0.25">
      <c r="B17" s="1" t="s">
        <v>224</v>
      </c>
      <c r="C17" s="32">
        <v>45646</v>
      </c>
      <c r="D17" s="1" t="s">
        <v>229</v>
      </c>
      <c r="E17" s="1">
        <v>57</v>
      </c>
      <c r="F17" s="1" t="s">
        <v>28</v>
      </c>
      <c r="G17" s="1">
        <v>36</v>
      </c>
      <c r="H17" s="1">
        <v>599</v>
      </c>
      <c r="I17" s="1">
        <v>4075</v>
      </c>
      <c r="J17" s="1">
        <v>7263</v>
      </c>
      <c r="N17" s="70" t="s">
        <v>242</v>
      </c>
    </row>
    <row r="18" spans="2:14" x14ac:dyDescent="0.25">
      <c r="B18" s="1" t="s">
        <v>226</v>
      </c>
      <c r="C18" s="32">
        <v>45647</v>
      </c>
      <c r="D18" s="1" t="s">
        <v>227</v>
      </c>
      <c r="E18" s="1">
        <v>23</v>
      </c>
      <c r="F18" s="1" t="s">
        <v>29</v>
      </c>
      <c r="G18" s="1">
        <v>36</v>
      </c>
      <c r="H18" s="1">
        <v>416</v>
      </c>
      <c r="I18" s="1">
        <v>2911</v>
      </c>
      <c r="J18" s="1">
        <v>5380</v>
      </c>
      <c r="N18" s="70" t="s">
        <v>243</v>
      </c>
    </row>
    <row r="19" spans="2:14" x14ac:dyDescent="0.25">
      <c r="B19" s="1" t="s">
        <v>225</v>
      </c>
      <c r="C19" s="32">
        <v>45658</v>
      </c>
      <c r="D19" s="1" t="s">
        <v>228</v>
      </c>
      <c r="E19" s="1">
        <v>63</v>
      </c>
      <c r="F19" s="1" t="s">
        <v>32</v>
      </c>
      <c r="G19" s="1">
        <v>42</v>
      </c>
      <c r="H19" s="1">
        <v>543</v>
      </c>
      <c r="I19" s="1">
        <v>4033</v>
      </c>
      <c r="J19" s="1">
        <v>8906</v>
      </c>
      <c r="N19" s="70" t="s">
        <v>244</v>
      </c>
    </row>
    <row r="20" spans="2:14" x14ac:dyDescent="0.25">
      <c r="B20" s="1" t="s">
        <v>224</v>
      </c>
      <c r="C20" s="32">
        <v>45659</v>
      </c>
      <c r="D20" s="1" t="s">
        <v>229</v>
      </c>
      <c r="E20" s="1">
        <v>80</v>
      </c>
      <c r="F20" s="1" t="s">
        <v>41</v>
      </c>
      <c r="G20" s="1">
        <v>38</v>
      </c>
      <c r="H20" s="1">
        <v>713</v>
      </c>
      <c r="I20" s="1">
        <v>3660</v>
      </c>
      <c r="J20" s="1">
        <v>6302</v>
      </c>
      <c r="N20" s="70" t="s">
        <v>245</v>
      </c>
    </row>
    <row r="21" spans="2:14" x14ac:dyDescent="0.25">
      <c r="B21" s="1" t="s">
        <v>226</v>
      </c>
      <c r="C21" s="32">
        <v>45660</v>
      </c>
      <c r="D21" s="1" t="s">
        <v>227</v>
      </c>
      <c r="E21" s="1">
        <v>64</v>
      </c>
      <c r="F21" s="1" t="s">
        <v>42</v>
      </c>
      <c r="G21" s="1">
        <v>32</v>
      </c>
      <c r="H21" s="1">
        <v>526</v>
      </c>
      <c r="I21" s="1">
        <v>2423</v>
      </c>
      <c r="J21" s="1">
        <v>3715</v>
      </c>
      <c r="N21" s="70" t="s">
        <v>246</v>
      </c>
    </row>
    <row r="22" spans="2:14" x14ac:dyDescent="0.25">
      <c r="B22" s="1" t="s">
        <v>225</v>
      </c>
      <c r="C22" s="32">
        <v>45661</v>
      </c>
      <c r="D22" s="1" t="s">
        <v>228</v>
      </c>
      <c r="E22" s="1">
        <v>58</v>
      </c>
      <c r="F22" s="1" t="s">
        <v>36</v>
      </c>
      <c r="G22" s="1">
        <v>52</v>
      </c>
      <c r="H22" s="1">
        <v>748</v>
      </c>
      <c r="I22" s="1">
        <v>3015</v>
      </c>
      <c r="J22" s="1">
        <v>4977</v>
      </c>
      <c r="N22" s="70" t="s">
        <v>247</v>
      </c>
    </row>
    <row r="23" spans="2:14" x14ac:dyDescent="0.25">
      <c r="B23" s="1" t="s">
        <v>224</v>
      </c>
      <c r="C23" s="32">
        <v>45662</v>
      </c>
      <c r="D23" s="1" t="s">
        <v>229</v>
      </c>
      <c r="E23" s="1">
        <v>64</v>
      </c>
      <c r="F23" s="1" t="s">
        <v>31</v>
      </c>
      <c r="G23" s="1">
        <v>80</v>
      </c>
      <c r="H23" s="1">
        <v>548</v>
      </c>
      <c r="I23" s="1">
        <v>4727</v>
      </c>
      <c r="J23" s="1">
        <v>7059</v>
      </c>
    </row>
    <row r="24" spans="2:14" x14ac:dyDescent="0.25">
      <c r="B24" s="1" t="s">
        <v>226</v>
      </c>
      <c r="C24" s="32">
        <v>45663</v>
      </c>
      <c r="D24" s="1" t="s">
        <v>227</v>
      </c>
      <c r="E24" s="1">
        <v>28</v>
      </c>
      <c r="F24" s="1" t="s">
        <v>30</v>
      </c>
      <c r="G24" s="1">
        <v>55</v>
      </c>
      <c r="H24" s="1">
        <v>835</v>
      </c>
      <c r="I24" s="1">
        <v>3832</v>
      </c>
      <c r="J24" s="1">
        <v>2577</v>
      </c>
    </row>
    <row r="25" spans="2:14" x14ac:dyDescent="0.25">
      <c r="B25" s="1" t="s">
        <v>225</v>
      </c>
      <c r="C25" s="32">
        <v>45664</v>
      </c>
      <c r="D25" s="1" t="s">
        <v>228</v>
      </c>
      <c r="E25" s="1">
        <v>33</v>
      </c>
      <c r="F25" s="1" t="s">
        <v>40</v>
      </c>
      <c r="G25" s="1">
        <v>43</v>
      </c>
      <c r="H25" s="1">
        <v>877</v>
      </c>
      <c r="I25" s="1">
        <v>4226</v>
      </c>
      <c r="J25" s="1">
        <v>2985</v>
      </c>
    </row>
    <row r="26" spans="2:14" x14ac:dyDescent="0.25">
      <c r="B26" s="1" t="s">
        <v>224</v>
      </c>
      <c r="C26" s="32">
        <v>45665</v>
      </c>
      <c r="D26" s="1" t="s">
        <v>229</v>
      </c>
      <c r="E26" s="1">
        <v>47</v>
      </c>
      <c r="F26" s="1" t="s">
        <v>43</v>
      </c>
      <c r="G26" s="1">
        <v>21</v>
      </c>
      <c r="H26" s="1">
        <v>476</v>
      </c>
      <c r="I26" s="1">
        <v>2846</v>
      </c>
      <c r="J26" s="1">
        <v>8054</v>
      </c>
    </row>
    <row r="27" spans="2:14" x14ac:dyDescent="0.25">
      <c r="B27" s="1" t="s">
        <v>226</v>
      </c>
      <c r="C27" s="32">
        <v>45666</v>
      </c>
      <c r="D27" s="1" t="s">
        <v>227</v>
      </c>
      <c r="E27" s="1">
        <v>56</v>
      </c>
      <c r="F27" s="1" t="s">
        <v>33</v>
      </c>
      <c r="G27" s="1">
        <v>72</v>
      </c>
      <c r="H27" s="1">
        <v>430</v>
      </c>
      <c r="I27" s="1">
        <v>3359</v>
      </c>
      <c r="J27" s="1">
        <v>5805</v>
      </c>
    </row>
    <row r="28" spans="2:14" x14ac:dyDescent="0.25">
      <c r="B28" s="1" t="s">
        <v>225</v>
      </c>
      <c r="C28" s="32">
        <v>45667</v>
      </c>
      <c r="D28" s="1" t="s">
        <v>228</v>
      </c>
      <c r="E28" s="1">
        <v>42</v>
      </c>
      <c r="F28" s="1" t="s">
        <v>37</v>
      </c>
      <c r="G28" s="1">
        <v>49</v>
      </c>
      <c r="H28" s="1">
        <v>608</v>
      </c>
      <c r="I28" s="1">
        <v>3226</v>
      </c>
      <c r="J28" s="1">
        <v>2517</v>
      </c>
    </row>
    <row r="29" spans="2:14" x14ac:dyDescent="0.25">
      <c r="B29" s="1" t="s">
        <v>224</v>
      </c>
      <c r="C29" s="32">
        <v>45668</v>
      </c>
      <c r="D29" s="1" t="s">
        <v>229</v>
      </c>
      <c r="E29" s="1">
        <v>86</v>
      </c>
      <c r="F29" s="1" t="s">
        <v>44</v>
      </c>
      <c r="G29" s="1">
        <v>26</v>
      </c>
      <c r="H29" s="1">
        <v>207</v>
      </c>
      <c r="I29" s="1">
        <v>3313</v>
      </c>
      <c r="J29" s="1">
        <v>6156</v>
      </c>
    </row>
    <row r="30" spans="2:14" x14ac:dyDescent="0.25">
      <c r="B30" s="1" t="s">
        <v>226</v>
      </c>
      <c r="C30" s="32">
        <v>45669</v>
      </c>
      <c r="D30" s="1" t="s">
        <v>227</v>
      </c>
      <c r="E30" s="1">
        <v>54</v>
      </c>
      <c r="F30" s="1" t="s">
        <v>138</v>
      </c>
      <c r="G30" s="1">
        <v>30</v>
      </c>
      <c r="H30" s="1">
        <v>716</v>
      </c>
      <c r="I30" s="1">
        <v>3280</v>
      </c>
      <c r="J30" s="1">
        <v>2101</v>
      </c>
    </row>
    <row r="31" spans="2:14" x14ac:dyDescent="0.25">
      <c r="B31" s="1" t="s">
        <v>225</v>
      </c>
      <c r="C31" s="32">
        <v>45670</v>
      </c>
      <c r="D31" s="1" t="s">
        <v>228</v>
      </c>
      <c r="E31" s="1">
        <v>35</v>
      </c>
      <c r="F31" s="1" t="s">
        <v>28</v>
      </c>
      <c r="G31" s="1">
        <v>68</v>
      </c>
      <c r="H31" s="1">
        <v>610</v>
      </c>
      <c r="I31" s="1">
        <v>2069</v>
      </c>
      <c r="J31" s="1">
        <v>6573</v>
      </c>
    </row>
    <row r="32" spans="2:14" x14ac:dyDescent="0.25">
      <c r="B32" s="1" t="s">
        <v>224</v>
      </c>
      <c r="C32" s="32">
        <v>46036</v>
      </c>
      <c r="D32" s="1" t="s">
        <v>229</v>
      </c>
      <c r="E32" s="1">
        <v>27</v>
      </c>
      <c r="F32" s="1" t="s">
        <v>31</v>
      </c>
      <c r="G32" s="1">
        <v>54</v>
      </c>
      <c r="H32" s="1">
        <v>603</v>
      </c>
      <c r="I32" s="1">
        <v>2603</v>
      </c>
      <c r="J32" s="1">
        <v>4037</v>
      </c>
    </row>
    <row r="33" spans="2:10" x14ac:dyDescent="0.25">
      <c r="B33" s="1" t="s">
        <v>226</v>
      </c>
      <c r="C33" s="32">
        <v>46037</v>
      </c>
      <c r="D33" s="1" t="s">
        <v>227</v>
      </c>
      <c r="E33" s="1">
        <v>75</v>
      </c>
      <c r="F33" s="1" t="s">
        <v>30</v>
      </c>
      <c r="G33" s="1">
        <v>37</v>
      </c>
      <c r="H33" s="1">
        <v>715</v>
      </c>
      <c r="I33" s="1">
        <v>3207</v>
      </c>
      <c r="J33" s="1">
        <v>4464</v>
      </c>
    </row>
    <row r="34" spans="2:10" x14ac:dyDescent="0.25">
      <c r="B34" s="1" t="s">
        <v>225</v>
      </c>
      <c r="C34" s="32">
        <v>46038</v>
      </c>
      <c r="D34" s="1" t="s">
        <v>228</v>
      </c>
      <c r="E34" s="1">
        <v>41</v>
      </c>
      <c r="F34" s="1" t="s">
        <v>35</v>
      </c>
      <c r="G34" s="1">
        <v>48</v>
      </c>
      <c r="H34" s="1">
        <v>499</v>
      </c>
      <c r="I34" s="1">
        <v>4396</v>
      </c>
      <c r="J34" s="1">
        <v>8592</v>
      </c>
    </row>
    <row r="35" spans="2:10" x14ac:dyDescent="0.25">
      <c r="B35" s="1" t="s">
        <v>224</v>
      </c>
      <c r="C35" s="32">
        <v>46039</v>
      </c>
      <c r="D35" s="1" t="s">
        <v>229</v>
      </c>
      <c r="E35" s="1">
        <v>20</v>
      </c>
      <c r="F35" s="1" t="s">
        <v>29</v>
      </c>
      <c r="G35" s="1">
        <v>59</v>
      </c>
      <c r="H35" s="1">
        <v>708</v>
      </c>
      <c r="I35" s="1">
        <v>2294</v>
      </c>
      <c r="J35" s="1">
        <v>4573</v>
      </c>
    </row>
    <row r="36" spans="2:10" x14ac:dyDescent="0.25">
      <c r="B36" s="1" t="s">
        <v>226</v>
      </c>
      <c r="C36" s="32">
        <v>46040</v>
      </c>
      <c r="D36" s="1" t="s">
        <v>227</v>
      </c>
      <c r="E36" s="1">
        <v>76</v>
      </c>
      <c r="F36" s="1" t="s">
        <v>33</v>
      </c>
      <c r="G36" s="1">
        <v>45</v>
      </c>
      <c r="H36" s="1">
        <v>339</v>
      </c>
      <c r="I36" s="1">
        <v>2605</v>
      </c>
      <c r="J36" s="1">
        <v>2407</v>
      </c>
    </row>
    <row r="37" spans="2:10" x14ac:dyDescent="0.25">
      <c r="B37" s="1" t="s">
        <v>225</v>
      </c>
      <c r="C37" s="32">
        <v>46041</v>
      </c>
      <c r="D37" s="1" t="s">
        <v>228</v>
      </c>
      <c r="E37" s="1">
        <v>69</v>
      </c>
      <c r="F37" s="1" t="s">
        <v>37</v>
      </c>
      <c r="G37" s="1">
        <v>68</v>
      </c>
      <c r="H37" s="1">
        <v>714</v>
      </c>
      <c r="I37" s="1">
        <v>4745</v>
      </c>
      <c r="J37" s="1">
        <v>6998</v>
      </c>
    </row>
  </sheetData>
  <phoneticPr fontId="2"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24E0-FB1E-48C3-9ED3-FAE0C12E4D58}">
  <sheetPr codeName="Sheet22"/>
  <dimension ref="A5:R56"/>
  <sheetViews>
    <sheetView topLeftCell="A5" workbookViewId="0">
      <selection activeCell="I42" sqref="I42"/>
    </sheetView>
  </sheetViews>
  <sheetFormatPr defaultRowHeight="15" x14ac:dyDescent="0.25"/>
  <cols>
    <col min="1" max="2" width="19" bestFit="1" customWidth="1"/>
    <col min="3" max="3" width="20.42578125" bestFit="1" customWidth="1"/>
    <col min="4" max="4" width="22.5703125" bestFit="1" customWidth="1"/>
    <col min="18" max="18" width="63.140625" customWidth="1"/>
  </cols>
  <sheetData>
    <row r="5" spans="1:18" x14ac:dyDescent="0.25">
      <c r="A5" s="71" t="s">
        <v>248</v>
      </c>
      <c r="B5" t="s">
        <v>250</v>
      </c>
      <c r="C5" t="s">
        <v>252</v>
      </c>
      <c r="D5" t="s">
        <v>253</v>
      </c>
    </row>
    <row r="6" spans="1:18" x14ac:dyDescent="0.25">
      <c r="A6" s="72" t="s">
        <v>226</v>
      </c>
      <c r="B6" s="74">
        <v>34770</v>
      </c>
      <c r="C6" s="74">
        <v>9</v>
      </c>
      <c r="D6" s="74">
        <v>3863.3333333333335</v>
      </c>
      <c r="R6" s="70" t="s">
        <v>237</v>
      </c>
    </row>
    <row r="7" spans="1:18" x14ac:dyDescent="0.25">
      <c r="A7" s="73" t="s">
        <v>138</v>
      </c>
      <c r="B7" s="74">
        <v>2101</v>
      </c>
      <c r="C7" s="74">
        <v>1</v>
      </c>
      <c r="D7" s="74">
        <v>2101</v>
      </c>
    </row>
    <row r="8" spans="1:18" x14ac:dyDescent="0.25">
      <c r="A8" s="75" t="s">
        <v>227</v>
      </c>
      <c r="B8" s="74">
        <v>2101</v>
      </c>
      <c r="C8" s="74">
        <v>1</v>
      </c>
      <c r="D8" s="74">
        <v>2101</v>
      </c>
      <c r="R8" s="70" t="s">
        <v>238</v>
      </c>
    </row>
    <row r="9" spans="1:18" x14ac:dyDescent="0.25">
      <c r="A9" s="73" t="s">
        <v>33</v>
      </c>
      <c r="B9" s="74">
        <v>8212</v>
      </c>
      <c r="C9" s="74">
        <v>2</v>
      </c>
      <c r="D9" s="74">
        <v>4106</v>
      </c>
    </row>
    <row r="10" spans="1:18" x14ac:dyDescent="0.25">
      <c r="A10" s="75" t="s">
        <v>227</v>
      </c>
      <c r="B10" s="74">
        <v>8212</v>
      </c>
      <c r="C10" s="74">
        <v>2</v>
      </c>
      <c r="D10" s="74">
        <v>4106</v>
      </c>
      <c r="R10" s="70" t="s">
        <v>239</v>
      </c>
    </row>
    <row r="11" spans="1:18" x14ac:dyDescent="0.25">
      <c r="A11" s="73" t="s">
        <v>32</v>
      </c>
      <c r="B11" s="74">
        <v>2621</v>
      </c>
      <c r="C11" s="74">
        <v>1</v>
      </c>
      <c r="D11" s="74">
        <v>2621</v>
      </c>
    </row>
    <row r="12" spans="1:18" x14ac:dyDescent="0.25">
      <c r="A12" s="75" t="s">
        <v>229</v>
      </c>
      <c r="B12" s="74">
        <v>2621</v>
      </c>
      <c r="C12" s="74">
        <v>1</v>
      </c>
      <c r="D12" s="74">
        <v>2621</v>
      </c>
      <c r="R12" s="70" t="s">
        <v>240</v>
      </c>
    </row>
    <row r="13" spans="1:18" x14ac:dyDescent="0.25">
      <c r="A13" s="73" t="s">
        <v>42</v>
      </c>
      <c r="B13" s="74">
        <v>3715</v>
      </c>
      <c r="C13" s="74">
        <v>1</v>
      </c>
      <c r="D13" s="74">
        <v>3715</v>
      </c>
    </row>
    <row r="14" spans="1:18" x14ac:dyDescent="0.25">
      <c r="A14" s="75" t="s">
        <v>227</v>
      </c>
      <c r="B14" s="74">
        <v>3715</v>
      </c>
      <c r="C14" s="74">
        <v>1</v>
      </c>
      <c r="D14" s="74">
        <v>3715</v>
      </c>
      <c r="R14" s="70" t="s">
        <v>241</v>
      </c>
    </row>
    <row r="15" spans="1:18" x14ac:dyDescent="0.25">
      <c r="A15" s="73" t="s">
        <v>29</v>
      </c>
      <c r="B15" s="74">
        <v>5380</v>
      </c>
      <c r="C15" s="74">
        <v>1</v>
      </c>
      <c r="D15" s="74">
        <v>5380</v>
      </c>
    </row>
    <row r="16" spans="1:18" x14ac:dyDescent="0.25">
      <c r="A16" s="75" t="s">
        <v>227</v>
      </c>
      <c r="B16" s="74">
        <v>5380</v>
      </c>
      <c r="C16" s="74">
        <v>1</v>
      </c>
      <c r="D16" s="74">
        <v>5380</v>
      </c>
    </row>
    <row r="17" spans="1:4" x14ac:dyDescent="0.25">
      <c r="A17" s="73" t="s">
        <v>43</v>
      </c>
      <c r="B17" s="74">
        <v>5700</v>
      </c>
      <c r="C17" s="74">
        <v>1</v>
      </c>
      <c r="D17" s="74">
        <v>5700</v>
      </c>
    </row>
    <row r="18" spans="1:4" x14ac:dyDescent="0.25">
      <c r="A18" s="75" t="s">
        <v>227</v>
      </c>
      <c r="B18" s="74">
        <v>5700</v>
      </c>
      <c r="C18" s="74">
        <v>1</v>
      </c>
      <c r="D18" s="74">
        <v>5700</v>
      </c>
    </row>
    <row r="19" spans="1:4" x14ac:dyDescent="0.25">
      <c r="A19" s="73" t="s">
        <v>30</v>
      </c>
      <c r="B19" s="74">
        <v>7041</v>
      </c>
      <c r="C19" s="74">
        <v>2</v>
      </c>
      <c r="D19" s="74">
        <v>3520.5</v>
      </c>
    </row>
    <row r="20" spans="1:4" x14ac:dyDescent="0.25">
      <c r="A20" s="75" t="s">
        <v>227</v>
      </c>
      <c r="B20" s="74">
        <v>7041</v>
      </c>
      <c r="C20" s="74">
        <v>2</v>
      </c>
      <c r="D20" s="74">
        <v>3520.5</v>
      </c>
    </row>
    <row r="21" spans="1:4" x14ac:dyDescent="0.25">
      <c r="A21" s="72" t="s">
        <v>224</v>
      </c>
      <c r="B21" s="74">
        <v>54125</v>
      </c>
      <c r="C21" s="74">
        <v>9</v>
      </c>
      <c r="D21" s="74">
        <v>6013.8888888888887</v>
      </c>
    </row>
    <row r="22" spans="1:4" x14ac:dyDescent="0.25">
      <c r="A22" s="73" t="s">
        <v>44</v>
      </c>
      <c r="B22" s="74">
        <v>6156</v>
      </c>
      <c r="C22" s="74">
        <v>1</v>
      </c>
      <c r="D22" s="74">
        <v>6156</v>
      </c>
    </row>
    <row r="23" spans="1:4" x14ac:dyDescent="0.25">
      <c r="A23" s="75" t="s">
        <v>229</v>
      </c>
      <c r="B23" s="74">
        <v>6156</v>
      </c>
      <c r="C23" s="74">
        <v>1</v>
      </c>
      <c r="D23" s="74">
        <v>6156</v>
      </c>
    </row>
    <row r="24" spans="1:4" x14ac:dyDescent="0.25">
      <c r="A24" s="73" t="s">
        <v>41</v>
      </c>
      <c r="B24" s="74">
        <v>6302</v>
      </c>
      <c r="C24" s="74">
        <v>1</v>
      </c>
      <c r="D24" s="74">
        <v>6302</v>
      </c>
    </row>
    <row r="25" spans="1:4" x14ac:dyDescent="0.25">
      <c r="A25" s="75" t="s">
        <v>229</v>
      </c>
      <c r="B25" s="74">
        <v>6302</v>
      </c>
      <c r="C25" s="74">
        <v>1</v>
      </c>
      <c r="D25" s="74">
        <v>6302</v>
      </c>
    </row>
    <row r="26" spans="1:4" x14ac:dyDescent="0.25">
      <c r="A26" s="73" t="s">
        <v>28</v>
      </c>
      <c r="B26" s="74">
        <v>11271</v>
      </c>
      <c r="C26" s="74">
        <v>2</v>
      </c>
      <c r="D26" s="74">
        <v>5635.5</v>
      </c>
    </row>
    <row r="27" spans="1:4" x14ac:dyDescent="0.25">
      <c r="A27" s="75" t="s">
        <v>229</v>
      </c>
      <c r="B27" s="74">
        <v>7263</v>
      </c>
      <c r="C27" s="74">
        <v>1</v>
      </c>
      <c r="D27" s="74">
        <v>7263</v>
      </c>
    </row>
    <row r="28" spans="1:4" x14ac:dyDescent="0.25">
      <c r="A28" s="75" t="s">
        <v>227</v>
      </c>
      <c r="B28" s="74">
        <v>4008</v>
      </c>
      <c r="C28" s="74">
        <v>1</v>
      </c>
      <c r="D28" s="74">
        <v>4008</v>
      </c>
    </row>
    <row r="29" spans="1:4" x14ac:dyDescent="0.25">
      <c r="A29" s="73" t="s">
        <v>31</v>
      </c>
      <c r="B29" s="74">
        <v>11096</v>
      </c>
      <c r="C29" s="74">
        <v>2</v>
      </c>
      <c r="D29" s="74">
        <v>5548</v>
      </c>
    </row>
    <row r="30" spans="1:4" x14ac:dyDescent="0.25">
      <c r="A30" s="75" t="s">
        <v>229</v>
      </c>
      <c r="B30" s="74">
        <v>11096</v>
      </c>
      <c r="C30" s="74">
        <v>2</v>
      </c>
      <c r="D30" s="74">
        <v>5548</v>
      </c>
    </row>
    <row r="31" spans="1:4" x14ac:dyDescent="0.25">
      <c r="A31" s="73" t="s">
        <v>29</v>
      </c>
      <c r="B31" s="74">
        <v>11246</v>
      </c>
      <c r="C31" s="74">
        <v>2</v>
      </c>
      <c r="D31" s="74">
        <v>5623</v>
      </c>
    </row>
    <row r="32" spans="1:4" x14ac:dyDescent="0.25">
      <c r="A32" s="75" t="s">
        <v>229</v>
      </c>
      <c r="B32" s="74">
        <v>11246</v>
      </c>
      <c r="C32" s="74">
        <v>2</v>
      </c>
      <c r="D32" s="74">
        <v>5623</v>
      </c>
    </row>
    <row r="33" spans="1:4" x14ac:dyDescent="0.25">
      <c r="A33" s="73" t="s">
        <v>43</v>
      </c>
      <c r="B33" s="74">
        <v>8054</v>
      </c>
      <c r="C33" s="74">
        <v>1</v>
      </c>
      <c r="D33" s="74">
        <v>8054</v>
      </c>
    </row>
    <row r="34" spans="1:4" x14ac:dyDescent="0.25">
      <c r="A34" s="75" t="s">
        <v>229</v>
      </c>
      <c r="B34" s="74">
        <v>8054</v>
      </c>
      <c r="C34" s="74">
        <v>1</v>
      </c>
      <c r="D34" s="74">
        <v>8054</v>
      </c>
    </row>
    <row r="35" spans="1:4" x14ac:dyDescent="0.25">
      <c r="A35" s="72" t="s">
        <v>225</v>
      </c>
      <c r="B35" s="74">
        <v>54640</v>
      </c>
      <c r="C35" s="74">
        <v>11</v>
      </c>
      <c r="D35" s="74">
        <v>4967.272727272727</v>
      </c>
    </row>
    <row r="36" spans="1:4" x14ac:dyDescent="0.25">
      <c r="A36" s="73" t="s">
        <v>35</v>
      </c>
      <c r="B36" s="74">
        <v>8592</v>
      </c>
      <c r="C36" s="74">
        <v>1</v>
      </c>
      <c r="D36" s="74">
        <v>8592</v>
      </c>
    </row>
    <row r="37" spans="1:4" x14ac:dyDescent="0.25">
      <c r="A37" s="75" t="s">
        <v>228</v>
      </c>
      <c r="B37" s="74">
        <v>8592</v>
      </c>
      <c r="C37" s="74">
        <v>1</v>
      </c>
      <c r="D37" s="74">
        <v>8592</v>
      </c>
    </row>
    <row r="38" spans="1:4" x14ac:dyDescent="0.25">
      <c r="A38" s="73" t="s">
        <v>40</v>
      </c>
      <c r="B38" s="74">
        <v>2985</v>
      </c>
      <c r="C38" s="74">
        <v>1</v>
      </c>
      <c r="D38" s="74">
        <v>2985</v>
      </c>
    </row>
    <row r="39" spans="1:4" x14ac:dyDescent="0.25">
      <c r="A39" s="75" t="s">
        <v>228</v>
      </c>
      <c r="B39" s="74">
        <v>2985</v>
      </c>
      <c r="C39" s="74">
        <v>1</v>
      </c>
      <c r="D39" s="74">
        <v>2985</v>
      </c>
    </row>
    <row r="40" spans="1:4" x14ac:dyDescent="0.25">
      <c r="A40" s="73" t="s">
        <v>37</v>
      </c>
      <c r="B40" s="74">
        <v>9515</v>
      </c>
      <c r="C40" s="74">
        <v>2</v>
      </c>
      <c r="D40" s="74">
        <v>4757.5</v>
      </c>
    </row>
    <row r="41" spans="1:4" x14ac:dyDescent="0.25">
      <c r="A41" s="75" t="s">
        <v>228</v>
      </c>
      <c r="B41" s="74">
        <v>9515</v>
      </c>
      <c r="C41" s="74">
        <v>2</v>
      </c>
      <c r="D41" s="74">
        <v>4757.5</v>
      </c>
    </row>
    <row r="42" spans="1:4" x14ac:dyDescent="0.25">
      <c r="A42" s="73" t="s">
        <v>36</v>
      </c>
      <c r="B42" s="74">
        <v>4977</v>
      </c>
      <c r="C42" s="74">
        <v>1</v>
      </c>
      <c r="D42" s="74">
        <v>4977</v>
      </c>
    </row>
    <row r="43" spans="1:4" x14ac:dyDescent="0.25">
      <c r="A43" s="75" t="s">
        <v>228</v>
      </c>
      <c r="B43" s="74">
        <v>4977</v>
      </c>
      <c r="C43" s="74">
        <v>1</v>
      </c>
      <c r="D43" s="74">
        <v>4977</v>
      </c>
    </row>
    <row r="44" spans="1:4" x14ac:dyDescent="0.25">
      <c r="A44" s="73" t="s">
        <v>28</v>
      </c>
      <c r="B44" s="74">
        <v>6573</v>
      </c>
      <c r="C44" s="74">
        <v>1</v>
      </c>
      <c r="D44" s="74">
        <v>6573</v>
      </c>
    </row>
    <row r="45" spans="1:4" x14ac:dyDescent="0.25">
      <c r="A45" s="75" t="s">
        <v>228</v>
      </c>
      <c r="B45" s="74">
        <v>6573</v>
      </c>
      <c r="C45" s="74">
        <v>1</v>
      </c>
      <c r="D45" s="74">
        <v>6573</v>
      </c>
    </row>
    <row r="46" spans="1:4" x14ac:dyDescent="0.25">
      <c r="A46" s="73" t="s">
        <v>32</v>
      </c>
      <c r="B46" s="74">
        <v>8906</v>
      </c>
      <c r="C46" s="74">
        <v>1</v>
      </c>
      <c r="D46" s="74">
        <v>8906</v>
      </c>
    </row>
    <row r="47" spans="1:4" x14ac:dyDescent="0.25">
      <c r="A47" s="75" t="s">
        <v>228</v>
      </c>
      <c r="B47" s="74">
        <v>8906</v>
      </c>
      <c r="C47" s="74">
        <v>1</v>
      </c>
      <c r="D47" s="74">
        <v>8906</v>
      </c>
    </row>
    <row r="48" spans="1:4" x14ac:dyDescent="0.25">
      <c r="A48" s="73" t="s">
        <v>42</v>
      </c>
      <c r="B48" s="74">
        <v>3564</v>
      </c>
      <c r="C48" s="74">
        <v>1</v>
      </c>
      <c r="D48" s="74">
        <v>3564</v>
      </c>
    </row>
    <row r="49" spans="1:4" x14ac:dyDescent="0.25">
      <c r="A49" s="75" t="s">
        <v>227</v>
      </c>
      <c r="B49" s="74">
        <v>3564</v>
      </c>
      <c r="C49" s="74">
        <v>1</v>
      </c>
      <c r="D49" s="74">
        <v>3564</v>
      </c>
    </row>
    <row r="50" spans="1:4" x14ac:dyDescent="0.25">
      <c r="A50" s="73" t="s">
        <v>31</v>
      </c>
      <c r="B50" s="74">
        <v>4257</v>
      </c>
      <c r="C50" s="74">
        <v>1</v>
      </c>
      <c r="D50" s="74">
        <v>4257</v>
      </c>
    </row>
    <row r="51" spans="1:4" x14ac:dyDescent="0.25">
      <c r="A51" s="75" t="s">
        <v>228</v>
      </c>
      <c r="B51" s="74">
        <v>4257</v>
      </c>
      <c r="C51" s="74">
        <v>1</v>
      </c>
      <c r="D51" s="74">
        <v>4257</v>
      </c>
    </row>
    <row r="52" spans="1:4" x14ac:dyDescent="0.25">
      <c r="A52" s="73" t="s">
        <v>29</v>
      </c>
      <c r="B52" s="74">
        <v>2998</v>
      </c>
      <c r="C52" s="74">
        <v>1</v>
      </c>
      <c r="D52" s="74">
        <v>2998</v>
      </c>
    </row>
    <row r="53" spans="1:4" x14ac:dyDescent="0.25">
      <c r="A53" s="75" t="s">
        <v>228</v>
      </c>
      <c r="B53" s="74">
        <v>2998</v>
      </c>
      <c r="C53" s="74">
        <v>1</v>
      </c>
      <c r="D53" s="74">
        <v>2998</v>
      </c>
    </row>
    <row r="54" spans="1:4" x14ac:dyDescent="0.25">
      <c r="A54" s="73" t="s">
        <v>30</v>
      </c>
      <c r="B54" s="74">
        <v>2273</v>
      </c>
      <c r="C54" s="74">
        <v>1</v>
      </c>
      <c r="D54" s="74">
        <v>2273</v>
      </c>
    </row>
    <row r="55" spans="1:4" x14ac:dyDescent="0.25">
      <c r="A55" s="75" t="s">
        <v>228</v>
      </c>
      <c r="B55" s="74">
        <v>2273</v>
      </c>
      <c r="C55" s="74">
        <v>1</v>
      </c>
      <c r="D55" s="74">
        <v>2273</v>
      </c>
    </row>
    <row r="56" spans="1:4" x14ac:dyDescent="0.25">
      <c r="A56" s="72" t="s">
        <v>249</v>
      </c>
      <c r="B56" s="74">
        <v>143535</v>
      </c>
      <c r="C56" s="74">
        <v>29</v>
      </c>
      <c r="D56" s="74">
        <v>4949.4827586206893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96357-BF86-4CCF-AB28-56EC0B78D1A7}">
  <sheetPr codeName="Sheet23"/>
  <dimension ref="A1:L6"/>
  <sheetViews>
    <sheetView workbookViewId="0">
      <selection activeCell="A2" sqref="A2:I3"/>
    </sheetView>
  </sheetViews>
  <sheetFormatPr defaultRowHeight="15" x14ac:dyDescent="0.25"/>
  <cols>
    <col min="1" max="1" width="10.140625" customWidth="1"/>
    <col min="2" max="2" width="13.140625" customWidth="1"/>
    <col min="7" max="7" width="12.5703125" customWidth="1"/>
    <col min="8" max="8" width="13.7109375" customWidth="1"/>
    <col min="9" max="9" width="14.28515625" customWidth="1"/>
    <col min="12" max="12" width="63.7109375" customWidth="1"/>
  </cols>
  <sheetData>
    <row r="1" spans="1:12" x14ac:dyDescent="0.25">
      <c r="A1" t="s">
        <v>218</v>
      </c>
      <c r="B1" t="s">
        <v>122</v>
      </c>
      <c r="C1" t="s">
        <v>219</v>
      </c>
      <c r="D1" t="s">
        <v>220</v>
      </c>
      <c r="E1" t="s">
        <v>17</v>
      </c>
      <c r="F1" t="s">
        <v>125</v>
      </c>
      <c r="G1" t="s">
        <v>221</v>
      </c>
      <c r="H1" t="s">
        <v>222</v>
      </c>
      <c r="I1" t="s">
        <v>223</v>
      </c>
    </row>
    <row r="2" spans="1:12" x14ac:dyDescent="0.25">
      <c r="A2" t="s">
        <v>224</v>
      </c>
      <c r="B2" s="3">
        <v>45662</v>
      </c>
      <c r="C2" t="s">
        <v>229</v>
      </c>
      <c r="D2">
        <v>57</v>
      </c>
      <c r="E2" t="s">
        <v>28</v>
      </c>
      <c r="F2">
        <v>36</v>
      </c>
      <c r="G2">
        <v>599</v>
      </c>
      <c r="H2">
        <v>4075</v>
      </c>
      <c r="I2">
        <v>7263</v>
      </c>
    </row>
    <row r="3" spans="1:12" x14ac:dyDescent="0.25">
      <c r="A3" t="s">
        <v>224</v>
      </c>
      <c r="B3" s="3">
        <v>45654</v>
      </c>
      <c r="C3" t="s">
        <v>227</v>
      </c>
      <c r="D3">
        <v>69</v>
      </c>
      <c r="E3" t="s">
        <v>28</v>
      </c>
      <c r="F3">
        <v>64</v>
      </c>
      <c r="G3">
        <v>297</v>
      </c>
      <c r="H3">
        <v>4960</v>
      </c>
      <c r="I3">
        <v>4008</v>
      </c>
    </row>
    <row r="6" spans="1:12" x14ac:dyDescent="0.25">
      <c r="L6" s="70" t="s">
        <v>240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B1C6C-A579-402B-8B9C-2B79FB64A10E}">
  <sheetPr codeName="Sheet24"/>
  <dimension ref="A3:N39"/>
  <sheetViews>
    <sheetView topLeftCell="A2" workbookViewId="0">
      <selection activeCell="B38" sqref="B37:B38"/>
    </sheetView>
  </sheetViews>
  <sheetFormatPr defaultRowHeight="15" x14ac:dyDescent="0.25"/>
  <cols>
    <col min="1" max="1" width="13.140625" bestFit="1" customWidth="1"/>
    <col min="2" max="2" width="19" bestFit="1" customWidth="1"/>
    <col min="14" max="14" width="35.7109375" customWidth="1"/>
  </cols>
  <sheetData>
    <row r="3" spans="1:14" x14ac:dyDescent="0.25">
      <c r="A3" s="71" t="s">
        <v>248</v>
      </c>
      <c r="B3" t="s">
        <v>250</v>
      </c>
    </row>
    <row r="4" spans="1:14" x14ac:dyDescent="0.25">
      <c r="A4" s="72" t="s">
        <v>254</v>
      </c>
      <c r="B4" s="74">
        <v>44737</v>
      </c>
    </row>
    <row r="5" spans="1:14" x14ac:dyDescent="0.25">
      <c r="A5" s="73" t="s">
        <v>255</v>
      </c>
      <c r="B5" s="74">
        <v>44737</v>
      </c>
    </row>
    <row r="6" spans="1:14" x14ac:dyDescent="0.25">
      <c r="A6" s="76" t="s">
        <v>259</v>
      </c>
      <c r="B6" s="74">
        <v>4008</v>
      </c>
    </row>
    <row r="7" spans="1:14" x14ac:dyDescent="0.25">
      <c r="A7" s="76" t="s">
        <v>260</v>
      </c>
      <c r="B7" s="74">
        <v>2998</v>
      </c>
    </row>
    <row r="8" spans="1:14" x14ac:dyDescent="0.25">
      <c r="A8" s="76" t="s">
        <v>261</v>
      </c>
      <c r="B8" s="74">
        <v>2621</v>
      </c>
    </row>
    <row r="9" spans="1:14" x14ac:dyDescent="0.25">
      <c r="A9" s="76" t="s">
        <v>262</v>
      </c>
      <c r="B9" s="74">
        <v>3564</v>
      </c>
    </row>
    <row r="10" spans="1:14" x14ac:dyDescent="0.25">
      <c r="A10" s="76" t="s">
        <v>263</v>
      </c>
      <c r="B10" s="74">
        <v>4257</v>
      </c>
      <c r="N10" s="70" t="s">
        <v>242</v>
      </c>
    </row>
    <row r="11" spans="1:14" x14ac:dyDescent="0.25">
      <c r="A11" s="76" t="s">
        <v>264</v>
      </c>
      <c r="B11" s="74">
        <v>6673</v>
      </c>
    </row>
    <row r="12" spans="1:14" x14ac:dyDescent="0.25">
      <c r="A12" s="76" t="s">
        <v>265</v>
      </c>
      <c r="B12" s="74">
        <v>5700</v>
      </c>
    </row>
    <row r="13" spans="1:14" x14ac:dyDescent="0.25">
      <c r="A13" s="76" t="s">
        <v>266</v>
      </c>
      <c r="B13" s="74">
        <v>2273</v>
      </c>
    </row>
    <row r="14" spans="1:14" x14ac:dyDescent="0.25">
      <c r="A14" s="76" t="s">
        <v>267</v>
      </c>
      <c r="B14" s="74">
        <v>7263</v>
      </c>
    </row>
    <row r="15" spans="1:14" x14ac:dyDescent="0.25">
      <c r="A15" s="76" t="s">
        <v>268</v>
      </c>
      <c r="B15" s="74">
        <v>5380</v>
      </c>
    </row>
    <row r="16" spans="1:14" x14ac:dyDescent="0.25">
      <c r="A16" s="72" t="s">
        <v>256</v>
      </c>
      <c r="B16" s="74">
        <v>67727</v>
      </c>
    </row>
    <row r="17" spans="1:2" x14ac:dyDescent="0.25">
      <c r="A17" s="73" t="s">
        <v>257</v>
      </c>
      <c r="B17" s="74">
        <v>67727</v>
      </c>
    </row>
    <row r="18" spans="1:2" x14ac:dyDescent="0.25">
      <c r="A18" s="76" t="s">
        <v>269</v>
      </c>
      <c r="B18" s="74">
        <v>8906</v>
      </c>
    </row>
    <row r="19" spans="1:2" x14ac:dyDescent="0.25">
      <c r="A19" s="76" t="s">
        <v>270</v>
      </c>
      <c r="B19" s="74">
        <v>6302</v>
      </c>
    </row>
    <row r="20" spans="1:2" x14ac:dyDescent="0.25">
      <c r="A20" s="76" t="s">
        <v>271</v>
      </c>
      <c r="B20" s="74">
        <v>3715</v>
      </c>
    </row>
    <row r="21" spans="1:2" x14ac:dyDescent="0.25">
      <c r="A21" s="76" t="s">
        <v>272</v>
      </c>
      <c r="B21" s="74">
        <v>4977</v>
      </c>
    </row>
    <row r="22" spans="1:2" x14ac:dyDescent="0.25">
      <c r="A22" s="76" t="s">
        <v>273</v>
      </c>
      <c r="B22" s="74">
        <v>7059</v>
      </c>
    </row>
    <row r="23" spans="1:2" x14ac:dyDescent="0.25">
      <c r="A23" s="76" t="s">
        <v>274</v>
      </c>
      <c r="B23" s="74">
        <v>2577</v>
      </c>
    </row>
    <row r="24" spans="1:2" x14ac:dyDescent="0.25">
      <c r="A24" s="76" t="s">
        <v>275</v>
      </c>
      <c r="B24" s="74">
        <v>2985</v>
      </c>
    </row>
    <row r="25" spans="1:2" x14ac:dyDescent="0.25">
      <c r="A25" s="76" t="s">
        <v>276</v>
      </c>
      <c r="B25" s="74">
        <v>8054</v>
      </c>
    </row>
    <row r="26" spans="1:2" x14ac:dyDescent="0.25">
      <c r="A26" s="76" t="s">
        <v>277</v>
      </c>
      <c r="B26" s="74">
        <v>5805</v>
      </c>
    </row>
    <row r="27" spans="1:2" x14ac:dyDescent="0.25">
      <c r="A27" s="76" t="s">
        <v>278</v>
      </c>
      <c r="B27" s="74">
        <v>2517</v>
      </c>
    </row>
    <row r="28" spans="1:2" x14ac:dyDescent="0.25">
      <c r="A28" s="76" t="s">
        <v>279</v>
      </c>
      <c r="B28" s="74">
        <v>6156</v>
      </c>
    </row>
    <row r="29" spans="1:2" x14ac:dyDescent="0.25">
      <c r="A29" s="76" t="s">
        <v>280</v>
      </c>
      <c r="B29" s="74">
        <v>2101</v>
      </c>
    </row>
    <row r="30" spans="1:2" x14ac:dyDescent="0.25">
      <c r="A30" s="76" t="s">
        <v>281</v>
      </c>
      <c r="B30" s="74">
        <v>6573</v>
      </c>
    </row>
    <row r="31" spans="1:2" x14ac:dyDescent="0.25">
      <c r="A31" s="72" t="s">
        <v>258</v>
      </c>
      <c r="B31" s="74">
        <v>31071</v>
      </c>
    </row>
    <row r="32" spans="1:2" x14ac:dyDescent="0.25">
      <c r="A32" s="73" t="s">
        <v>257</v>
      </c>
      <c r="B32" s="74">
        <v>31071</v>
      </c>
    </row>
    <row r="33" spans="1:2" x14ac:dyDescent="0.25">
      <c r="A33" s="76" t="s">
        <v>282</v>
      </c>
      <c r="B33" s="74">
        <v>4037</v>
      </c>
    </row>
    <row r="34" spans="1:2" x14ac:dyDescent="0.25">
      <c r="A34" s="76" t="s">
        <v>283</v>
      </c>
      <c r="B34" s="74">
        <v>4464</v>
      </c>
    </row>
    <row r="35" spans="1:2" x14ac:dyDescent="0.25">
      <c r="A35" s="76" t="s">
        <v>284</v>
      </c>
      <c r="B35" s="74">
        <v>8592</v>
      </c>
    </row>
    <row r="36" spans="1:2" x14ac:dyDescent="0.25">
      <c r="A36" s="76" t="s">
        <v>285</v>
      </c>
      <c r="B36" s="74">
        <v>4573</v>
      </c>
    </row>
    <row r="37" spans="1:2" x14ac:dyDescent="0.25">
      <c r="A37" s="76" t="s">
        <v>286</v>
      </c>
      <c r="B37" s="74">
        <v>2407</v>
      </c>
    </row>
    <row r="38" spans="1:2" x14ac:dyDescent="0.25">
      <c r="A38" s="76" t="s">
        <v>287</v>
      </c>
      <c r="B38" s="74">
        <v>6998</v>
      </c>
    </row>
    <row r="39" spans="1:2" x14ac:dyDescent="0.25">
      <c r="A39" s="72" t="s">
        <v>249</v>
      </c>
      <c r="B39" s="74">
        <v>143535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9E7F7-3B52-412D-B080-24A94EE5F372}">
  <sheetPr codeName="Sheet25"/>
  <dimension ref="A3:L25"/>
  <sheetViews>
    <sheetView workbookViewId="0">
      <selection activeCell="I38" sqref="I38"/>
    </sheetView>
  </sheetViews>
  <sheetFormatPr defaultRowHeight="15" x14ac:dyDescent="0.25"/>
  <cols>
    <col min="1" max="1" width="13.140625" bestFit="1" customWidth="1"/>
    <col min="2" max="2" width="17.28515625" bestFit="1" customWidth="1"/>
    <col min="3" max="3" width="19" bestFit="1" customWidth="1"/>
    <col min="4" max="4" width="18.42578125" bestFit="1" customWidth="1"/>
    <col min="5" max="5" width="20.140625" bestFit="1" customWidth="1"/>
    <col min="12" max="12" width="38.7109375" customWidth="1"/>
  </cols>
  <sheetData>
    <row r="3" spans="1:12" x14ac:dyDescent="0.25">
      <c r="A3" s="71" t="s">
        <v>248</v>
      </c>
      <c r="B3" t="s">
        <v>288</v>
      </c>
      <c r="C3" t="s">
        <v>250</v>
      </c>
      <c r="D3" t="s">
        <v>251</v>
      </c>
      <c r="E3" t="s">
        <v>289</v>
      </c>
    </row>
    <row r="4" spans="1:12" x14ac:dyDescent="0.25">
      <c r="A4" s="72" t="s">
        <v>226</v>
      </c>
      <c r="B4" s="74">
        <v>5145</v>
      </c>
      <c r="C4" s="74">
        <v>34770</v>
      </c>
      <c r="D4" s="74">
        <v>27000</v>
      </c>
      <c r="E4" s="74">
        <v>61770</v>
      </c>
    </row>
    <row r="5" spans="1:12" x14ac:dyDescent="0.25">
      <c r="A5" s="73" t="s">
        <v>229</v>
      </c>
      <c r="B5" s="74">
        <v>824</v>
      </c>
      <c r="C5" s="74">
        <v>2621</v>
      </c>
      <c r="D5" s="74">
        <v>2278</v>
      </c>
      <c r="E5" s="74">
        <v>4899</v>
      </c>
    </row>
    <row r="6" spans="1:12" x14ac:dyDescent="0.25">
      <c r="A6" s="75" t="s">
        <v>254</v>
      </c>
      <c r="B6" s="74">
        <v>824</v>
      </c>
      <c r="C6" s="74">
        <v>2621</v>
      </c>
      <c r="D6" s="74">
        <v>2278</v>
      </c>
      <c r="E6" s="74">
        <v>4899</v>
      </c>
    </row>
    <row r="7" spans="1:12" x14ac:dyDescent="0.25">
      <c r="A7" s="73" t="s">
        <v>227</v>
      </c>
      <c r="B7" s="74">
        <v>4321</v>
      </c>
      <c r="C7" s="74">
        <v>32149</v>
      </c>
      <c r="D7" s="74">
        <v>24722</v>
      </c>
      <c r="E7" s="74">
        <v>56871</v>
      </c>
    </row>
    <row r="8" spans="1:12" x14ac:dyDescent="0.25">
      <c r="A8" s="75" t="s">
        <v>254</v>
      </c>
      <c r="B8" s="74">
        <v>760</v>
      </c>
      <c r="C8" s="74">
        <v>11080</v>
      </c>
      <c r="D8" s="74">
        <v>6016</v>
      </c>
      <c r="E8" s="74">
        <v>17096</v>
      </c>
    </row>
    <row r="9" spans="1:12" x14ac:dyDescent="0.25">
      <c r="A9" s="75" t="s">
        <v>256</v>
      </c>
      <c r="B9" s="74">
        <v>2507</v>
      </c>
      <c r="C9" s="74">
        <v>14198</v>
      </c>
      <c r="D9" s="74">
        <v>12894</v>
      </c>
      <c r="E9" s="74">
        <v>27092</v>
      </c>
      <c r="L9" s="70" t="s">
        <v>243</v>
      </c>
    </row>
    <row r="10" spans="1:12" x14ac:dyDescent="0.25">
      <c r="A10" s="75" t="s">
        <v>258</v>
      </c>
      <c r="B10" s="74">
        <v>1054</v>
      </c>
      <c r="C10" s="74">
        <v>6871</v>
      </c>
      <c r="D10" s="74">
        <v>5812</v>
      </c>
      <c r="E10" s="74">
        <v>12683</v>
      </c>
    </row>
    <row r="11" spans="1:12" x14ac:dyDescent="0.25">
      <c r="A11" s="72" t="s">
        <v>224</v>
      </c>
      <c r="B11" s="74">
        <v>4674</v>
      </c>
      <c r="C11" s="74">
        <v>54125</v>
      </c>
      <c r="D11" s="74">
        <v>30561</v>
      </c>
      <c r="E11" s="74">
        <v>84686</v>
      </c>
    </row>
    <row r="12" spans="1:12" x14ac:dyDescent="0.25">
      <c r="A12" s="73" t="s">
        <v>229</v>
      </c>
      <c r="B12" s="74">
        <v>4377</v>
      </c>
      <c r="C12" s="74">
        <v>50117</v>
      </c>
      <c r="D12" s="74">
        <v>25601</v>
      </c>
      <c r="E12" s="74">
        <v>75718</v>
      </c>
    </row>
    <row r="13" spans="1:12" x14ac:dyDescent="0.25">
      <c r="A13" s="75" t="s">
        <v>254</v>
      </c>
      <c r="B13" s="74">
        <v>1122</v>
      </c>
      <c r="C13" s="74">
        <v>13936</v>
      </c>
      <c r="D13" s="74">
        <v>6158</v>
      </c>
      <c r="E13" s="74">
        <v>20094</v>
      </c>
    </row>
    <row r="14" spans="1:12" x14ac:dyDescent="0.25">
      <c r="A14" s="75" t="s">
        <v>256</v>
      </c>
      <c r="B14" s="74">
        <v>1944</v>
      </c>
      <c r="C14" s="74">
        <v>27571</v>
      </c>
      <c r="D14" s="74">
        <v>14546</v>
      </c>
      <c r="E14" s="74">
        <v>42117</v>
      </c>
    </row>
    <row r="15" spans="1:12" x14ac:dyDescent="0.25">
      <c r="A15" s="75" t="s">
        <v>258</v>
      </c>
      <c r="B15" s="74">
        <v>1311</v>
      </c>
      <c r="C15" s="74">
        <v>8610</v>
      </c>
      <c r="D15" s="74">
        <v>4897</v>
      </c>
      <c r="E15" s="74">
        <v>13507</v>
      </c>
    </row>
    <row r="16" spans="1:12" x14ac:dyDescent="0.25">
      <c r="A16" s="73" t="s">
        <v>227</v>
      </c>
      <c r="B16" s="74">
        <v>297</v>
      </c>
      <c r="C16" s="74">
        <v>4008</v>
      </c>
      <c r="D16" s="74">
        <v>4960</v>
      </c>
      <c r="E16" s="74">
        <v>8968</v>
      </c>
    </row>
    <row r="17" spans="1:5" x14ac:dyDescent="0.25">
      <c r="A17" s="75" t="s">
        <v>254</v>
      </c>
      <c r="B17" s="74">
        <v>297</v>
      </c>
      <c r="C17" s="74">
        <v>4008</v>
      </c>
      <c r="D17" s="74">
        <v>4960</v>
      </c>
      <c r="E17" s="74">
        <v>8968</v>
      </c>
    </row>
    <row r="18" spans="1:5" x14ac:dyDescent="0.25">
      <c r="A18" s="72" t="s">
        <v>225</v>
      </c>
      <c r="B18" s="74">
        <v>7149</v>
      </c>
      <c r="C18" s="74">
        <v>54640</v>
      </c>
      <c r="D18" s="74">
        <v>39703</v>
      </c>
      <c r="E18" s="74">
        <v>94343</v>
      </c>
    </row>
    <row r="19" spans="1:5" x14ac:dyDescent="0.25">
      <c r="A19" s="73" t="s">
        <v>228</v>
      </c>
      <c r="B19" s="74">
        <v>6339</v>
      </c>
      <c r="C19" s="74">
        <v>51076</v>
      </c>
      <c r="D19" s="74">
        <v>36887</v>
      </c>
      <c r="E19" s="74">
        <v>87963</v>
      </c>
    </row>
    <row r="20" spans="1:5" x14ac:dyDescent="0.25">
      <c r="A20" s="75" t="s">
        <v>254</v>
      </c>
      <c r="B20" s="74">
        <v>1740</v>
      </c>
      <c r="C20" s="74">
        <v>9528</v>
      </c>
      <c r="D20" s="74">
        <v>11177</v>
      </c>
      <c r="E20" s="74">
        <v>20705</v>
      </c>
    </row>
    <row r="21" spans="1:5" x14ac:dyDescent="0.25">
      <c r="A21" s="75" t="s">
        <v>256</v>
      </c>
      <c r="B21" s="74">
        <v>3386</v>
      </c>
      <c r="C21" s="74">
        <v>25958</v>
      </c>
      <c r="D21" s="74">
        <v>16569</v>
      </c>
      <c r="E21" s="74">
        <v>42527</v>
      </c>
    </row>
    <row r="22" spans="1:5" x14ac:dyDescent="0.25">
      <c r="A22" s="75" t="s">
        <v>258</v>
      </c>
      <c r="B22" s="74">
        <v>1213</v>
      </c>
      <c r="C22" s="74">
        <v>15590</v>
      </c>
      <c r="D22" s="74">
        <v>9141</v>
      </c>
      <c r="E22" s="74">
        <v>24731</v>
      </c>
    </row>
    <row r="23" spans="1:5" x14ac:dyDescent="0.25">
      <c r="A23" s="73" t="s">
        <v>227</v>
      </c>
      <c r="B23" s="74">
        <v>810</v>
      </c>
      <c r="C23" s="74">
        <v>3564</v>
      </c>
      <c r="D23" s="74">
        <v>2816</v>
      </c>
      <c r="E23" s="74">
        <v>6380</v>
      </c>
    </row>
    <row r="24" spans="1:5" x14ac:dyDescent="0.25">
      <c r="A24" s="75" t="s">
        <v>254</v>
      </c>
      <c r="B24" s="74">
        <v>810</v>
      </c>
      <c r="C24" s="74">
        <v>3564</v>
      </c>
      <c r="D24" s="74">
        <v>2816</v>
      </c>
      <c r="E24" s="74">
        <v>6380</v>
      </c>
    </row>
    <row r="25" spans="1:5" x14ac:dyDescent="0.25">
      <c r="A25" s="72" t="s">
        <v>249</v>
      </c>
      <c r="B25" s="74">
        <v>16968</v>
      </c>
      <c r="C25" s="74">
        <v>143535</v>
      </c>
      <c r="D25" s="74">
        <v>97264</v>
      </c>
      <c r="E25" s="74">
        <v>240799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BEA1-B119-47BE-A2D5-E62177397016}">
  <sheetPr codeName="Sheet26"/>
  <dimension ref="A6:C28"/>
  <sheetViews>
    <sheetView workbookViewId="0">
      <selection activeCell="C35" sqref="C35:D35"/>
    </sheetView>
  </sheetViews>
  <sheetFormatPr defaultRowHeight="15" x14ac:dyDescent="0.25"/>
  <cols>
    <col min="1" max="1" width="13.140625" bestFit="1" customWidth="1"/>
    <col min="2" max="2" width="19" bestFit="1" customWidth="1"/>
    <col min="3" max="3" width="20.140625" bestFit="1" customWidth="1"/>
  </cols>
  <sheetData>
    <row r="6" spans="1:3" x14ac:dyDescent="0.25">
      <c r="A6" s="71" t="s">
        <v>248</v>
      </c>
      <c r="B6" t="s">
        <v>250</v>
      </c>
      <c r="C6" t="s">
        <v>289</v>
      </c>
    </row>
    <row r="7" spans="1:3" x14ac:dyDescent="0.25">
      <c r="A7" s="72" t="s">
        <v>226</v>
      </c>
      <c r="B7" s="74">
        <v>34770</v>
      </c>
      <c r="C7" s="74">
        <v>61770</v>
      </c>
    </row>
    <row r="8" spans="1:3" x14ac:dyDescent="0.25">
      <c r="A8" s="73" t="s">
        <v>229</v>
      </c>
      <c r="B8" s="74">
        <v>2621</v>
      </c>
      <c r="C8" s="74">
        <v>4899</v>
      </c>
    </row>
    <row r="9" spans="1:3" x14ac:dyDescent="0.25">
      <c r="A9" s="75" t="s">
        <v>254</v>
      </c>
      <c r="B9" s="74">
        <v>2621</v>
      </c>
      <c r="C9" s="74">
        <v>4899</v>
      </c>
    </row>
    <row r="10" spans="1:3" x14ac:dyDescent="0.25">
      <c r="A10" s="73" t="s">
        <v>227</v>
      </c>
      <c r="B10" s="74">
        <v>32149</v>
      </c>
      <c r="C10" s="74">
        <v>56871</v>
      </c>
    </row>
    <row r="11" spans="1:3" x14ac:dyDescent="0.25">
      <c r="A11" s="75" t="s">
        <v>254</v>
      </c>
      <c r="B11" s="74">
        <v>11080</v>
      </c>
      <c r="C11" s="74">
        <v>17096</v>
      </c>
    </row>
    <row r="12" spans="1:3" x14ac:dyDescent="0.25">
      <c r="A12" s="75" t="s">
        <v>256</v>
      </c>
      <c r="B12" s="74">
        <v>14198</v>
      </c>
      <c r="C12" s="74">
        <v>27092</v>
      </c>
    </row>
    <row r="13" spans="1:3" x14ac:dyDescent="0.25">
      <c r="A13" s="75" t="s">
        <v>258</v>
      </c>
      <c r="B13" s="74">
        <v>6871</v>
      </c>
      <c r="C13" s="74">
        <v>12683</v>
      </c>
    </row>
    <row r="14" spans="1:3" x14ac:dyDescent="0.25">
      <c r="A14" s="72" t="s">
        <v>224</v>
      </c>
      <c r="B14" s="74">
        <v>54125</v>
      </c>
      <c r="C14" s="74">
        <v>84686</v>
      </c>
    </row>
    <row r="15" spans="1:3" x14ac:dyDescent="0.25">
      <c r="A15" s="73" t="s">
        <v>229</v>
      </c>
      <c r="B15" s="74">
        <v>50117</v>
      </c>
      <c r="C15" s="74">
        <v>75718</v>
      </c>
    </row>
    <row r="16" spans="1:3" x14ac:dyDescent="0.25">
      <c r="A16" s="75" t="s">
        <v>254</v>
      </c>
      <c r="B16" s="74">
        <v>13936</v>
      </c>
      <c r="C16" s="74">
        <v>20094</v>
      </c>
    </row>
    <row r="17" spans="1:3" x14ac:dyDescent="0.25">
      <c r="A17" s="75" t="s">
        <v>256</v>
      </c>
      <c r="B17" s="74">
        <v>27571</v>
      </c>
      <c r="C17" s="74">
        <v>42117</v>
      </c>
    </row>
    <row r="18" spans="1:3" x14ac:dyDescent="0.25">
      <c r="A18" s="75" t="s">
        <v>258</v>
      </c>
      <c r="B18" s="74">
        <v>8610</v>
      </c>
      <c r="C18" s="74">
        <v>13507</v>
      </c>
    </row>
    <row r="19" spans="1:3" x14ac:dyDescent="0.25">
      <c r="A19" s="73" t="s">
        <v>227</v>
      </c>
      <c r="B19" s="74">
        <v>4008</v>
      </c>
      <c r="C19" s="74">
        <v>8968</v>
      </c>
    </row>
    <row r="20" spans="1:3" x14ac:dyDescent="0.25">
      <c r="A20" s="75" t="s">
        <v>254</v>
      </c>
      <c r="B20" s="74">
        <v>4008</v>
      </c>
      <c r="C20" s="74">
        <v>8968</v>
      </c>
    </row>
    <row r="21" spans="1:3" x14ac:dyDescent="0.25">
      <c r="A21" s="72" t="s">
        <v>225</v>
      </c>
      <c r="B21" s="74">
        <v>54640</v>
      </c>
      <c r="C21" s="74">
        <v>94343</v>
      </c>
    </row>
    <row r="22" spans="1:3" x14ac:dyDescent="0.25">
      <c r="A22" s="73" t="s">
        <v>228</v>
      </c>
      <c r="B22" s="74">
        <v>51076</v>
      </c>
      <c r="C22" s="74">
        <v>87963</v>
      </c>
    </row>
    <row r="23" spans="1:3" x14ac:dyDescent="0.25">
      <c r="A23" s="75" t="s">
        <v>254</v>
      </c>
      <c r="B23" s="74">
        <v>9528</v>
      </c>
      <c r="C23" s="74">
        <v>20705</v>
      </c>
    </row>
    <row r="24" spans="1:3" x14ac:dyDescent="0.25">
      <c r="A24" s="75" t="s">
        <v>256</v>
      </c>
      <c r="B24" s="74">
        <v>25958</v>
      </c>
      <c r="C24" s="74">
        <v>42527</v>
      </c>
    </row>
    <row r="25" spans="1:3" x14ac:dyDescent="0.25">
      <c r="A25" s="75" t="s">
        <v>258</v>
      </c>
      <c r="B25" s="74">
        <v>15590</v>
      </c>
      <c r="C25" s="74">
        <v>24731</v>
      </c>
    </row>
    <row r="26" spans="1:3" x14ac:dyDescent="0.25">
      <c r="A26" s="73" t="s">
        <v>227</v>
      </c>
      <c r="B26" s="74">
        <v>3564</v>
      </c>
      <c r="C26" s="74">
        <v>6380</v>
      </c>
    </row>
    <row r="27" spans="1:3" x14ac:dyDescent="0.25">
      <c r="A27" s="75" t="s">
        <v>254</v>
      </c>
      <c r="B27" s="74">
        <v>3564</v>
      </c>
      <c r="C27" s="74">
        <v>6380</v>
      </c>
    </row>
    <row r="28" spans="1:3" x14ac:dyDescent="0.25">
      <c r="A28" s="72" t="s">
        <v>249</v>
      </c>
      <c r="B28" s="74">
        <v>143535</v>
      </c>
      <c r="C28" s="74">
        <v>240799</v>
      </c>
    </row>
  </sheetData>
  <pageMargins left="0.7" right="0.7" top="0.75" bottom="0.75" header="0.3" footer="0.3"/>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B96A4-BE69-4043-8B52-E5D658FB7E48}">
  <sheetPr codeName="Sheet27"/>
  <dimension ref="A3:U25"/>
  <sheetViews>
    <sheetView workbookViewId="0">
      <selection activeCell="J21" sqref="J21"/>
    </sheetView>
  </sheetViews>
  <sheetFormatPr defaultRowHeight="15" x14ac:dyDescent="0.25"/>
  <cols>
    <col min="1" max="1" width="13.140625" bestFit="1" customWidth="1"/>
    <col min="2" max="2" width="19" bestFit="1" customWidth="1"/>
    <col min="3" max="3" width="11.28515625" bestFit="1" customWidth="1"/>
    <col min="8" max="8" width="22.140625" customWidth="1"/>
    <col min="9" max="9" width="10.85546875" customWidth="1"/>
    <col min="21" max="21" width="24.42578125" customWidth="1"/>
  </cols>
  <sheetData>
    <row r="3" spans="1:21" x14ac:dyDescent="0.25">
      <c r="I3" s="70" t="s">
        <v>245</v>
      </c>
    </row>
    <row r="6" spans="1:21" x14ac:dyDescent="0.25">
      <c r="A6" s="71" t="s">
        <v>248</v>
      </c>
      <c r="B6" t="s">
        <v>250</v>
      </c>
      <c r="C6" t="s">
        <v>290</v>
      </c>
    </row>
    <row r="7" spans="1:21" x14ac:dyDescent="0.25">
      <c r="A7" s="72" t="s">
        <v>225</v>
      </c>
      <c r="B7" s="74">
        <v>2998</v>
      </c>
      <c r="C7" s="74">
        <v>35</v>
      </c>
    </row>
    <row r="8" spans="1:21" x14ac:dyDescent="0.25">
      <c r="A8" s="73" t="s">
        <v>228</v>
      </c>
      <c r="B8" s="74">
        <v>2998</v>
      </c>
      <c r="C8" s="74">
        <v>35</v>
      </c>
      <c r="U8" s="70" t="s">
        <v>246</v>
      </c>
    </row>
    <row r="9" spans="1:21" x14ac:dyDescent="0.25">
      <c r="A9" s="75" t="s">
        <v>254</v>
      </c>
      <c r="B9" s="74">
        <v>2998</v>
      </c>
      <c r="C9" s="74">
        <v>35</v>
      </c>
    </row>
    <row r="10" spans="1:21" x14ac:dyDescent="0.25">
      <c r="A10" s="72" t="s">
        <v>249</v>
      </c>
      <c r="B10" s="74">
        <v>2998</v>
      </c>
      <c r="C10" s="74">
        <v>35</v>
      </c>
    </row>
    <row r="25" spans="8:8" x14ac:dyDescent="0.25">
      <c r="H25" s="70" t="s">
        <v>247</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9BCA-13DA-4E03-8A30-B48F452D8A9C}">
  <sheetPr codeName="Sheet29"/>
  <dimension ref="A11:AJ22"/>
  <sheetViews>
    <sheetView topLeftCell="M1" workbookViewId="0">
      <selection activeCell="V32" sqref="V32"/>
    </sheetView>
  </sheetViews>
  <sheetFormatPr defaultRowHeight="15" x14ac:dyDescent="0.25"/>
  <cols>
    <col min="1" max="1" width="18.28515625" customWidth="1"/>
    <col min="2" max="2" width="18.85546875" customWidth="1"/>
    <col min="3" max="3" width="10.7109375" customWidth="1"/>
    <col min="4" max="4" width="12.42578125" customWidth="1"/>
    <col min="5" max="32" width="10.7109375" bestFit="1" customWidth="1"/>
    <col min="33" max="33" width="15.28515625" bestFit="1" customWidth="1"/>
    <col min="34" max="34" width="14" bestFit="1" customWidth="1"/>
    <col min="35" max="35" width="13.5703125" bestFit="1" customWidth="1"/>
  </cols>
  <sheetData>
    <row r="11" spans="1:36" x14ac:dyDescent="0.25">
      <c r="A11" s="68" t="s">
        <v>291</v>
      </c>
      <c r="B11" s="68" t="s">
        <v>292</v>
      </c>
      <c r="C11" s="83">
        <v>45658</v>
      </c>
      <c r="D11" s="83">
        <v>45659</v>
      </c>
      <c r="E11" s="83">
        <v>45660</v>
      </c>
      <c r="F11" s="83">
        <v>45661</v>
      </c>
      <c r="G11" s="78">
        <v>45662</v>
      </c>
      <c r="H11" s="83">
        <v>45663</v>
      </c>
      <c r="I11" s="83">
        <v>45664</v>
      </c>
      <c r="J11" s="83">
        <v>45665</v>
      </c>
      <c r="K11" s="83">
        <v>45666</v>
      </c>
      <c r="L11" s="83">
        <v>45667</v>
      </c>
      <c r="M11" s="83">
        <v>45668</v>
      </c>
      <c r="N11" s="78">
        <v>45669</v>
      </c>
      <c r="O11" s="83">
        <v>45670</v>
      </c>
      <c r="P11" s="83">
        <v>45671</v>
      </c>
      <c r="Q11" s="83">
        <v>45672</v>
      </c>
      <c r="R11" s="83">
        <v>45673</v>
      </c>
      <c r="S11" s="83">
        <v>45674</v>
      </c>
      <c r="T11" s="83">
        <v>45675</v>
      </c>
      <c r="U11" s="82">
        <v>45676</v>
      </c>
      <c r="V11" s="83">
        <v>45677</v>
      </c>
      <c r="W11" s="83">
        <v>45678</v>
      </c>
      <c r="X11" s="83">
        <v>45679</v>
      </c>
      <c r="Y11" s="83">
        <v>45680</v>
      </c>
      <c r="Z11" s="83">
        <v>45681</v>
      </c>
      <c r="AA11" s="83">
        <v>45682</v>
      </c>
      <c r="AB11" s="78">
        <v>45683</v>
      </c>
      <c r="AC11" s="83">
        <v>45684</v>
      </c>
      <c r="AD11" s="83">
        <v>45685</v>
      </c>
      <c r="AE11" s="83">
        <v>45686</v>
      </c>
      <c r="AF11" s="83">
        <v>45687</v>
      </c>
      <c r="AG11" s="84" t="s">
        <v>310</v>
      </c>
      <c r="AH11" s="84" t="s">
        <v>311</v>
      </c>
      <c r="AI11" s="84" t="s">
        <v>312</v>
      </c>
      <c r="AJ11" s="63"/>
    </row>
    <row r="12" spans="1:36" x14ac:dyDescent="0.25">
      <c r="A12" s="64" t="s">
        <v>28</v>
      </c>
      <c r="B12" s="64" t="s">
        <v>293</v>
      </c>
      <c r="C12" s="64" t="s">
        <v>313</v>
      </c>
      <c r="D12" s="64" t="s">
        <v>313</v>
      </c>
      <c r="E12" s="64" t="s">
        <v>313</v>
      </c>
      <c r="F12" s="64" t="s">
        <v>313</v>
      </c>
      <c r="G12" s="77"/>
      <c r="H12" s="64" t="s">
        <v>313</v>
      </c>
      <c r="I12" s="64" t="s">
        <v>313</v>
      </c>
      <c r="J12" s="64" t="s">
        <v>313</v>
      </c>
      <c r="K12" s="64" t="s">
        <v>313</v>
      </c>
      <c r="L12" s="64" t="s">
        <v>313</v>
      </c>
      <c r="M12" s="64" t="s">
        <v>313</v>
      </c>
      <c r="N12" s="80"/>
      <c r="O12" s="64" t="s">
        <v>313</v>
      </c>
      <c r="P12" s="64" t="s">
        <v>313</v>
      </c>
      <c r="Q12" s="64" t="s">
        <v>313</v>
      </c>
      <c r="R12" t="s">
        <v>314</v>
      </c>
      <c r="S12" s="64" t="s">
        <v>313</v>
      </c>
      <c r="T12" s="64" t="s">
        <v>313</v>
      </c>
      <c r="U12" s="68"/>
      <c r="V12" s="64" t="s">
        <v>307</v>
      </c>
      <c r="W12" s="64" t="s">
        <v>313</v>
      </c>
      <c r="X12" s="64" t="s">
        <v>313</v>
      </c>
      <c r="Y12" s="64" t="s">
        <v>313</v>
      </c>
      <c r="Z12" s="64" t="s">
        <v>313</v>
      </c>
      <c r="AA12" s="64" t="s">
        <v>313</v>
      </c>
      <c r="AB12" s="68"/>
      <c r="AC12" s="64" t="s">
        <v>313</v>
      </c>
      <c r="AD12" s="64" t="s">
        <v>313</v>
      </c>
      <c r="AE12" s="64" t="s">
        <v>313</v>
      </c>
      <c r="AF12" s="64" t="s">
        <v>313</v>
      </c>
      <c r="AG12" s="64">
        <f>COUNTIF(C12:AF12,"P")</f>
        <v>24</v>
      </c>
      <c r="AH12" s="64">
        <f>COUNTIF(C12:AG12,"A")</f>
        <v>1</v>
      </c>
      <c r="AI12" s="64">
        <f>COUNTIF(C12:AH12,"LEAVE")</f>
        <v>1</v>
      </c>
    </row>
    <row r="13" spans="1:36" ht="15.75" x14ac:dyDescent="0.25">
      <c r="A13" s="64" t="s">
        <v>29</v>
      </c>
      <c r="B13" s="64" t="s">
        <v>294</v>
      </c>
      <c r="C13" s="64" t="s">
        <v>313</v>
      </c>
      <c r="D13" s="64" t="s">
        <v>313</v>
      </c>
      <c r="E13" s="64" t="s">
        <v>313</v>
      </c>
      <c r="F13" s="64" t="s">
        <v>313</v>
      </c>
      <c r="G13" s="81" t="s">
        <v>303</v>
      </c>
      <c r="H13" s="64" t="s">
        <v>313</v>
      </c>
      <c r="I13" s="64" t="s">
        <v>313</v>
      </c>
      <c r="J13" s="64" t="s">
        <v>313</v>
      </c>
      <c r="K13" s="64" t="s">
        <v>313</v>
      </c>
      <c r="L13" s="64" t="s">
        <v>313</v>
      </c>
      <c r="M13" s="64" t="s">
        <v>313</v>
      </c>
      <c r="N13" s="80" t="s">
        <v>303</v>
      </c>
      <c r="O13" s="64" t="s">
        <v>313</v>
      </c>
      <c r="P13" s="64" t="s">
        <v>313</v>
      </c>
      <c r="Q13" s="64" t="s">
        <v>313</v>
      </c>
      <c r="R13" s="64" t="s">
        <v>313</v>
      </c>
      <c r="S13" s="64" t="s">
        <v>313</v>
      </c>
      <c r="T13" s="64" t="s">
        <v>313</v>
      </c>
      <c r="U13" s="80" t="s">
        <v>303</v>
      </c>
      <c r="V13" s="64" t="s">
        <v>307</v>
      </c>
      <c r="W13" s="64" t="s">
        <v>313</v>
      </c>
      <c r="X13" s="64" t="s">
        <v>313</v>
      </c>
      <c r="Y13" s="64" t="s">
        <v>307</v>
      </c>
      <c r="Z13" s="64" t="s">
        <v>313</v>
      </c>
      <c r="AA13" s="64" t="s">
        <v>313</v>
      </c>
      <c r="AB13" s="80" t="s">
        <v>303</v>
      </c>
      <c r="AC13" s="64" t="s">
        <v>313</v>
      </c>
      <c r="AD13" s="64" t="s">
        <v>313</v>
      </c>
      <c r="AE13" s="64" t="s">
        <v>313</v>
      </c>
      <c r="AF13" s="64" t="s">
        <v>313</v>
      </c>
      <c r="AG13" s="64">
        <f t="shared" ref="AG13:AG22" si="0">COUNTIF(C13:AF13,"P")</f>
        <v>24</v>
      </c>
      <c r="AH13" s="64">
        <f t="shared" ref="AH13:AH22" si="1">COUNTIF(C13:AG13,"A")</f>
        <v>2</v>
      </c>
      <c r="AI13" s="64">
        <f t="shared" ref="AI13:AI22" si="2">COUNTIF(C13:AH13,"LEAVE")</f>
        <v>0</v>
      </c>
    </row>
    <row r="14" spans="1:36" ht="15.75" x14ac:dyDescent="0.25">
      <c r="A14" s="64" t="s">
        <v>32</v>
      </c>
      <c r="B14" s="64" t="s">
        <v>295</v>
      </c>
      <c r="C14" s="64" t="s">
        <v>307</v>
      </c>
      <c r="D14" s="64" t="s">
        <v>313</v>
      </c>
      <c r="E14" s="64" t="s">
        <v>313</v>
      </c>
      <c r="F14" s="64" t="s">
        <v>307</v>
      </c>
      <c r="G14" s="81" t="s">
        <v>304</v>
      </c>
      <c r="H14" s="64" t="s">
        <v>313</v>
      </c>
      <c r="I14" s="64" t="s">
        <v>313</v>
      </c>
      <c r="J14" s="64" t="s">
        <v>313</v>
      </c>
      <c r="K14" s="64" t="s">
        <v>307</v>
      </c>
      <c r="L14" s="64" t="s">
        <v>313</v>
      </c>
      <c r="M14" s="64" t="s">
        <v>313</v>
      </c>
      <c r="N14" s="80" t="s">
        <v>304</v>
      </c>
      <c r="O14" s="64" t="s">
        <v>313</v>
      </c>
      <c r="P14" s="64" t="s">
        <v>313</v>
      </c>
      <c r="Q14" s="64" t="s">
        <v>313</v>
      </c>
      <c r="R14" s="64" t="s">
        <v>313</v>
      </c>
      <c r="S14" s="64" t="s">
        <v>313</v>
      </c>
      <c r="T14" s="64" t="s">
        <v>313</v>
      </c>
      <c r="U14" s="80" t="s">
        <v>304</v>
      </c>
      <c r="V14" s="64" t="s">
        <v>313</v>
      </c>
      <c r="W14" s="64" t="s">
        <v>313</v>
      </c>
      <c r="X14" s="64" t="s">
        <v>313</v>
      </c>
      <c r="Y14" s="64" t="s">
        <v>313</v>
      </c>
      <c r="Z14" s="64" t="s">
        <v>313</v>
      </c>
      <c r="AA14" s="64" t="s">
        <v>313</v>
      </c>
      <c r="AB14" s="80" t="s">
        <v>304</v>
      </c>
      <c r="AC14" s="64" t="s">
        <v>313</v>
      </c>
      <c r="AD14" s="64" t="s">
        <v>313</v>
      </c>
      <c r="AE14" s="64" t="s">
        <v>313</v>
      </c>
      <c r="AF14" s="64" t="s">
        <v>313</v>
      </c>
      <c r="AG14" s="64">
        <f t="shared" si="0"/>
        <v>23</v>
      </c>
      <c r="AH14" s="64">
        <f t="shared" si="1"/>
        <v>3</v>
      </c>
      <c r="AI14" s="64">
        <f t="shared" si="2"/>
        <v>0</v>
      </c>
    </row>
    <row r="15" spans="1:36" ht="15.75" x14ac:dyDescent="0.25">
      <c r="A15" s="64" t="s">
        <v>42</v>
      </c>
      <c r="B15" s="64" t="s">
        <v>296</v>
      </c>
      <c r="C15" s="64" t="s">
        <v>314</v>
      </c>
      <c r="D15" s="64" t="s">
        <v>313</v>
      </c>
      <c r="E15" s="64" t="s">
        <v>307</v>
      </c>
      <c r="F15" s="64" t="s">
        <v>307</v>
      </c>
      <c r="G15" s="81" t="s">
        <v>305</v>
      </c>
      <c r="H15" s="64" t="s">
        <v>313</v>
      </c>
      <c r="I15" s="64" t="s">
        <v>313</v>
      </c>
      <c r="J15" s="64" t="s">
        <v>313</v>
      </c>
      <c r="K15" s="64" t="s">
        <v>313</v>
      </c>
      <c r="L15" s="64" t="s">
        <v>313</v>
      </c>
      <c r="M15" s="64" t="s">
        <v>313</v>
      </c>
      <c r="N15" s="80" t="s">
        <v>305</v>
      </c>
      <c r="O15" s="64" t="s">
        <v>313</v>
      </c>
      <c r="P15" s="64" t="s">
        <v>313</v>
      </c>
      <c r="Q15" s="64" t="s">
        <v>313</v>
      </c>
      <c r="R15" s="64" t="s">
        <v>313</v>
      </c>
      <c r="S15" t="s">
        <v>314</v>
      </c>
      <c r="T15" s="64" t="s">
        <v>313</v>
      </c>
      <c r="U15" s="80" t="s">
        <v>305</v>
      </c>
      <c r="V15" s="64" t="s">
        <v>313</v>
      </c>
      <c r="W15" s="64" t="s">
        <v>313</v>
      </c>
      <c r="X15" s="64" t="s">
        <v>313</v>
      </c>
      <c r="Y15" s="64" t="s">
        <v>313</v>
      </c>
      <c r="Z15" s="64" t="s">
        <v>313</v>
      </c>
      <c r="AA15" s="64" t="s">
        <v>313</v>
      </c>
      <c r="AB15" s="80" t="s">
        <v>305</v>
      </c>
      <c r="AC15" s="64" t="s">
        <v>313</v>
      </c>
      <c r="AD15" s="64" t="s">
        <v>313</v>
      </c>
      <c r="AE15" s="64" t="s">
        <v>313</v>
      </c>
      <c r="AF15" s="64" t="s">
        <v>313</v>
      </c>
      <c r="AG15" s="64">
        <f t="shared" si="0"/>
        <v>22</v>
      </c>
      <c r="AH15" s="64">
        <f t="shared" si="1"/>
        <v>2</v>
      </c>
      <c r="AI15" s="64">
        <f t="shared" si="2"/>
        <v>2</v>
      </c>
    </row>
    <row r="16" spans="1:36" ht="15.75" x14ac:dyDescent="0.25">
      <c r="A16" s="64" t="s">
        <v>31</v>
      </c>
      <c r="B16" s="64" t="s">
        <v>297</v>
      </c>
      <c r="C16" s="64" t="s">
        <v>313</v>
      </c>
      <c r="D16" s="64" t="s">
        <v>313</v>
      </c>
      <c r="E16" s="64" t="s">
        <v>313</v>
      </c>
      <c r="F16" s="64" t="s">
        <v>313</v>
      </c>
      <c r="G16" s="81" t="s">
        <v>306</v>
      </c>
      <c r="H16" t="s">
        <v>314</v>
      </c>
      <c r="I16" s="64" t="s">
        <v>313</v>
      </c>
      <c r="J16" s="64" t="s">
        <v>313</v>
      </c>
      <c r="K16" t="s">
        <v>314</v>
      </c>
      <c r="L16" s="64" t="s">
        <v>313</v>
      </c>
      <c r="M16" s="64" t="s">
        <v>313</v>
      </c>
      <c r="N16" s="80" t="s">
        <v>306</v>
      </c>
      <c r="O16" s="64" t="s">
        <v>313</v>
      </c>
      <c r="P16" s="64" t="s">
        <v>313</v>
      </c>
      <c r="Q16" s="64" t="s">
        <v>313</v>
      </c>
      <c r="R16" s="64" t="s">
        <v>313</v>
      </c>
      <c r="S16" s="64" t="s">
        <v>313</v>
      </c>
      <c r="T16" s="64" t="s">
        <v>313</v>
      </c>
      <c r="U16" s="80" t="s">
        <v>306</v>
      </c>
      <c r="V16" s="64" t="s">
        <v>313</v>
      </c>
      <c r="W16" s="64" t="s">
        <v>307</v>
      </c>
      <c r="X16" s="64" t="s">
        <v>313</v>
      </c>
      <c r="Y16" s="64" t="s">
        <v>313</v>
      </c>
      <c r="Z16" s="64" t="s">
        <v>307</v>
      </c>
      <c r="AA16" s="64" t="s">
        <v>313</v>
      </c>
      <c r="AB16" s="80" t="s">
        <v>306</v>
      </c>
      <c r="AC16" s="64" t="s">
        <v>307</v>
      </c>
      <c r="AD16" s="64" t="s">
        <v>313</v>
      </c>
      <c r="AE16" s="64" t="s">
        <v>313</v>
      </c>
      <c r="AF16" s="64" t="s">
        <v>313</v>
      </c>
      <c r="AG16" s="64">
        <f t="shared" si="0"/>
        <v>21</v>
      </c>
      <c r="AH16" s="64">
        <f t="shared" si="1"/>
        <v>3</v>
      </c>
      <c r="AI16" s="64">
        <f t="shared" si="2"/>
        <v>2</v>
      </c>
    </row>
    <row r="17" spans="1:35" ht="15.75" x14ac:dyDescent="0.25">
      <c r="A17" s="64" t="s">
        <v>29</v>
      </c>
      <c r="B17" s="64" t="s">
        <v>298</v>
      </c>
      <c r="C17" s="64" t="s">
        <v>313</v>
      </c>
      <c r="D17" s="64" t="s">
        <v>313</v>
      </c>
      <c r="E17" s="64" t="s">
        <v>313</v>
      </c>
      <c r="F17" s="64" t="s">
        <v>313</v>
      </c>
      <c r="G17" s="81" t="s">
        <v>307</v>
      </c>
      <c r="H17" s="64" t="s">
        <v>313</v>
      </c>
      <c r="I17" s="64" t="s">
        <v>307</v>
      </c>
      <c r="J17" s="64" t="s">
        <v>313</v>
      </c>
      <c r="K17" s="64" t="s">
        <v>313</v>
      </c>
      <c r="L17" s="64" t="s">
        <v>307</v>
      </c>
      <c r="M17" s="64" t="s">
        <v>313</v>
      </c>
      <c r="N17" s="80" t="s">
        <v>307</v>
      </c>
      <c r="O17" t="s">
        <v>314</v>
      </c>
      <c r="P17" s="64" t="s">
        <v>313</v>
      </c>
      <c r="Q17" s="64" t="s">
        <v>307</v>
      </c>
      <c r="R17" s="64" t="s">
        <v>313</v>
      </c>
      <c r="S17" s="64" t="s">
        <v>313</v>
      </c>
      <c r="T17" s="64" t="s">
        <v>313</v>
      </c>
      <c r="U17" s="80" t="s">
        <v>307</v>
      </c>
      <c r="V17" s="64" t="s">
        <v>313</v>
      </c>
      <c r="W17" s="64" t="s">
        <v>313</v>
      </c>
      <c r="X17" s="64" t="s">
        <v>313</v>
      </c>
      <c r="Y17" s="64" t="s">
        <v>313</v>
      </c>
      <c r="Z17" s="64" t="s">
        <v>307</v>
      </c>
      <c r="AA17" s="64" t="s">
        <v>313</v>
      </c>
      <c r="AB17" s="80" t="s">
        <v>307</v>
      </c>
      <c r="AC17" s="64" t="s">
        <v>313</v>
      </c>
      <c r="AD17" s="64" t="s">
        <v>313</v>
      </c>
      <c r="AE17" s="64" t="s">
        <v>313</v>
      </c>
      <c r="AF17" s="64" t="s">
        <v>313</v>
      </c>
      <c r="AG17" s="64">
        <f t="shared" si="0"/>
        <v>21</v>
      </c>
      <c r="AH17" s="64">
        <f t="shared" si="1"/>
        <v>8</v>
      </c>
      <c r="AI17" s="64">
        <f t="shared" si="2"/>
        <v>1</v>
      </c>
    </row>
    <row r="18" spans="1:35" ht="15.75" x14ac:dyDescent="0.25">
      <c r="A18" s="64" t="s">
        <v>43</v>
      </c>
      <c r="B18" s="64" t="s">
        <v>299</v>
      </c>
      <c r="C18" s="64" t="s">
        <v>313</v>
      </c>
      <c r="D18" s="64" t="s">
        <v>313</v>
      </c>
      <c r="E18" s="64" t="s">
        <v>313</v>
      </c>
      <c r="F18" s="64" t="s">
        <v>313</v>
      </c>
      <c r="G18" s="81" t="s">
        <v>308</v>
      </c>
      <c r="H18" s="64" t="s">
        <v>313</v>
      </c>
      <c r="I18" s="64" t="s">
        <v>313</v>
      </c>
      <c r="J18" s="64" t="s">
        <v>307</v>
      </c>
      <c r="K18" s="64" t="s">
        <v>313</v>
      </c>
      <c r="L18" s="64" t="s">
        <v>313</v>
      </c>
      <c r="M18" s="64" t="s">
        <v>313</v>
      </c>
      <c r="N18" s="80" t="s">
        <v>308</v>
      </c>
      <c r="O18" s="64" t="s">
        <v>313</v>
      </c>
      <c r="P18" s="64" t="s">
        <v>313</v>
      </c>
      <c r="Q18" s="64" t="s">
        <v>313</v>
      </c>
      <c r="R18" s="64" t="s">
        <v>313</v>
      </c>
      <c r="S18" s="64" t="s">
        <v>313</v>
      </c>
      <c r="T18" s="64" t="s">
        <v>313</v>
      </c>
      <c r="U18" s="80" t="s">
        <v>308</v>
      </c>
      <c r="V18" s="64" t="s">
        <v>313</v>
      </c>
      <c r="W18" s="64" t="s">
        <v>313</v>
      </c>
      <c r="X18" t="s">
        <v>314</v>
      </c>
      <c r="Y18" s="64" t="s">
        <v>313</v>
      </c>
      <c r="Z18" s="64" t="s">
        <v>313</v>
      </c>
      <c r="AA18" s="64" t="s">
        <v>313</v>
      </c>
      <c r="AB18" s="80" t="s">
        <v>308</v>
      </c>
      <c r="AC18" t="s">
        <v>314</v>
      </c>
      <c r="AD18" s="64" t="s">
        <v>313</v>
      </c>
      <c r="AE18" s="64" t="s">
        <v>313</v>
      </c>
      <c r="AF18" s="64" t="s">
        <v>313</v>
      </c>
      <c r="AG18" s="64">
        <f t="shared" si="0"/>
        <v>23</v>
      </c>
      <c r="AH18" s="64">
        <f t="shared" si="1"/>
        <v>1</v>
      </c>
      <c r="AI18" s="64">
        <f t="shared" si="2"/>
        <v>2</v>
      </c>
    </row>
    <row r="19" spans="1:35" x14ac:dyDescent="0.25">
      <c r="A19" s="64" t="s">
        <v>30</v>
      </c>
      <c r="B19" s="64" t="s">
        <v>300</v>
      </c>
      <c r="C19" s="64" t="s">
        <v>313</v>
      </c>
      <c r="D19" s="64" t="s">
        <v>313</v>
      </c>
      <c r="E19" t="s">
        <v>314</v>
      </c>
      <c r="F19" s="64" t="s">
        <v>313</v>
      </c>
      <c r="G19" s="79"/>
      <c r="H19" s="64" t="s">
        <v>313</v>
      </c>
      <c r="I19" s="64" t="s">
        <v>313</v>
      </c>
      <c r="J19" s="64" t="s">
        <v>313</v>
      </c>
      <c r="K19" s="64" t="s">
        <v>313</v>
      </c>
      <c r="L19" s="64" t="s">
        <v>313</v>
      </c>
      <c r="M19" s="64" t="s">
        <v>313</v>
      </c>
      <c r="N19" s="80"/>
      <c r="O19" s="64" t="s">
        <v>313</v>
      </c>
      <c r="P19" s="64" t="s">
        <v>313</v>
      </c>
      <c r="Q19" s="64" t="s">
        <v>313</v>
      </c>
      <c r="R19" s="64" t="s">
        <v>313</v>
      </c>
      <c r="S19" s="64" t="s">
        <v>307</v>
      </c>
      <c r="T19" s="64" t="s">
        <v>313</v>
      </c>
      <c r="U19" s="80"/>
      <c r="V19" s="64" t="s">
        <v>313</v>
      </c>
      <c r="W19" s="64" t="s">
        <v>313</v>
      </c>
      <c r="X19" s="64" t="s">
        <v>313</v>
      </c>
      <c r="Y19" s="64" t="s">
        <v>313</v>
      </c>
      <c r="Z19" s="64" t="s">
        <v>313</v>
      </c>
      <c r="AA19" s="64" t="s">
        <v>313</v>
      </c>
      <c r="AB19" s="80"/>
      <c r="AC19" s="64" t="s">
        <v>313</v>
      </c>
      <c r="AD19" s="64" t="s">
        <v>313</v>
      </c>
      <c r="AE19" s="64" t="s">
        <v>313</v>
      </c>
      <c r="AF19" s="64" t="s">
        <v>313</v>
      </c>
      <c r="AG19" s="64">
        <f t="shared" si="0"/>
        <v>24</v>
      </c>
      <c r="AH19" s="64">
        <f t="shared" si="1"/>
        <v>1</v>
      </c>
      <c r="AI19" s="64">
        <f t="shared" si="2"/>
        <v>1</v>
      </c>
    </row>
    <row r="20" spans="1:35" x14ac:dyDescent="0.25">
      <c r="A20" s="64" t="s">
        <v>35</v>
      </c>
      <c r="B20" s="64" t="s">
        <v>301</v>
      </c>
      <c r="C20" s="64" t="s">
        <v>313</v>
      </c>
      <c r="D20" s="64" t="s">
        <v>307</v>
      </c>
      <c r="E20" s="64" t="s">
        <v>307</v>
      </c>
      <c r="F20" s="64" t="s">
        <v>313</v>
      </c>
      <c r="G20" s="77"/>
      <c r="H20" s="64" t="s">
        <v>313</v>
      </c>
      <c r="I20" s="64" t="s">
        <v>313</v>
      </c>
      <c r="J20" s="64" t="s">
        <v>313</v>
      </c>
      <c r="K20" s="64" t="s">
        <v>313</v>
      </c>
      <c r="L20" s="64" t="s">
        <v>313</v>
      </c>
      <c r="M20" s="64" t="s">
        <v>313</v>
      </c>
      <c r="N20" s="80"/>
      <c r="O20" s="64" t="s">
        <v>313</v>
      </c>
      <c r="P20" s="64" t="s">
        <v>313</v>
      </c>
      <c r="Q20" s="64" t="s">
        <v>313</v>
      </c>
      <c r="R20" s="64" t="s">
        <v>313</v>
      </c>
      <c r="S20" s="64" t="s">
        <v>313</v>
      </c>
      <c r="T20" s="64" t="s">
        <v>313</v>
      </c>
      <c r="U20" s="80"/>
      <c r="V20" s="64" t="s">
        <v>313</v>
      </c>
      <c r="W20" s="64" t="s">
        <v>313</v>
      </c>
      <c r="X20" s="64" t="s">
        <v>313</v>
      </c>
      <c r="Y20" s="64" t="s">
        <v>313</v>
      </c>
      <c r="Z20" s="64" t="s">
        <v>313</v>
      </c>
      <c r="AA20" s="64" t="s">
        <v>313</v>
      </c>
      <c r="AB20" s="80"/>
      <c r="AC20" s="64" t="s">
        <v>313</v>
      </c>
      <c r="AD20" s="64" t="s">
        <v>313</v>
      </c>
      <c r="AE20" s="64" t="s">
        <v>307</v>
      </c>
      <c r="AF20" s="64" t="s">
        <v>313</v>
      </c>
      <c r="AG20" s="64">
        <f t="shared" si="0"/>
        <v>23</v>
      </c>
      <c r="AH20" s="64">
        <f t="shared" si="1"/>
        <v>3</v>
      </c>
      <c r="AI20" s="64">
        <f t="shared" si="2"/>
        <v>0</v>
      </c>
    </row>
    <row r="21" spans="1:35" x14ac:dyDescent="0.25">
      <c r="A21" s="64" t="s">
        <v>213</v>
      </c>
      <c r="B21" s="64" t="s">
        <v>302</v>
      </c>
      <c r="C21" s="64" t="s">
        <v>313</v>
      </c>
      <c r="D21" s="64" t="s">
        <v>313</v>
      </c>
      <c r="E21" s="64" t="s">
        <v>313</v>
      </c>
      <c r="F21" s="64" t="s">
        <v>313</v>
      </c>
      <c r="G21" s="77"/>
      <c r="H21" s="64" t="s">
        <v>313</v>
      </c>
      <c r="I21" t="s">
        <v>314</v>
      </c>
      <c r="J21" s="64" t="s">
        <v>307</v>
      </c>
      <c r="K21" s="64" t="s">
        <v>313</v>
      </c>
      <c r="L21" s="64" t="s">
        <v>313</v>
      </c>
      <c r="M21" s="64" t="s">
        <v>313</v>
      </c>
      <c r="N21" s="80"/>
      <c r="O21" s="64" t="s">
        <v>313</v>
      </c>
      <c r="P21" s="64" t="s">
        <v>313</v>
      </c>
      <c r="Q21" s="64" t="s">
        <v>313</v>
      </c>
      <c r="R21" s="64" t="s">
        <v>313</v>
      </c>
      <c r="S21" s="64" t="s">
        <v>313</v>
      </c>
      <c r="T21" s="64" t="s">
        <v>313</v>
      </c>
      <c r="U21" s="80"/>
      <c r="V21" s="64" t="s">
        <v>313</v>
      </c>
      <c r="W21" s="64" t="s">
        <v>307</v>
      </c>
      <c r="X21" s="64" t="s">
        <v>313</v>
      </c>
      <c r="Y21" s="64" t="s">
        <v>313</v>
      </c>
      <c r="Z21" s="64" t="s">
        <v>313</v>
      </c>
      <c r="AA21" s="64" t="s">
        <v>313</v>
      </c>
      <c r="AB21" s="80"/>
      <c r="AC21" s="64" t="s">
        <v>313</v>
      </c>
      <c r="AD21" s="64" t="s">
        <v>313</v>
      </c>
      <c r="AE21" s="64" t="s">
        <v>313</v>
      </c>
      <c r="AF21" s="64" t="s">
        <v>313</v>
      </c>
      <c r="AG21" s="64">
        <f t="shared" si="0"/>
        <v>23</v>
      </c>
      <c r="AH21" s="64">
        <f t="shared" si="1"/>
        <v>2</v>
      </c>
      <c r="AI21" s="64">
        <f t="shared" si="2"/>
        <v>1</v>
      </c>
    </row>
    <row r="22" spans="1:35" x14ac:dyDescent="0.25">
      <c r="A22" s="64" t="s">
        <v>37</v>
      </c>
      <c r="B22" s="64" t="s">
        <v>309</v>
      </c>
      <c r="C22" s="64" t="s">
        <v>313</v>
      </c>
      <c r="D22" s="64" t="s">
        <v>313</v>
      </c>
      <c r="E22" s="64" t="s">
        <v>313</v>
      </c>
      <c r="F22" s="64" t="s">
        <v>313</v>
      </c>
      <c r="G22" s="77"/>
      <c r="H22" s="64" t="s">
        <v>313</v>
      </c>
      <c r="I22" s="64" t="s">
        <v>313</v>
      </c>
      <c r="J22" s="64" t="s">
        <v>313</v>
      </c>
      <c r="K22" s="64" t="s">
        <v>313</v>
      </c>
      <c r="L22" s="64" t="s">
        <v>313</v>
      </c>
      <c r="M22" s="64" t="s">
        <v>313</v>
      </c>
      <c r="N22" s="77"/>
      <c r="O22" s="64" t="s">
        <v>313</v>
      </c>
      <c r="P22" s="64" t="s">
        <v>313</v>
      </c>
      <c r="Q22" s="64" t="s">
        <v>313</v>
      </c>
      <c r="R22" s="64" t="s">
        <v>313</v>
      </c>
      <c r="S22" s="64" t="s">
        <v>313</v>
      </c>
      <c r="T22" s="64" t="s">
        <v>313</v>
      </c>
      <c r="U22" s="80"/>
      <c r="V22" s="64" t="s">
        <v>313</v>
      </c>
      <c r="W22" s="64" t="s">
        <v>313</v>
      </c>
      <c r="X22" s="64" t="s">
        <v>313</v>
      </c>
      <c r="Y22" s="64" t="s">
        <v>313</v>
      </c>
      <c r="Z22" s="64" t="s">
        <v>313</v>
      </c>
      <c r="AA22" s="64" t="s">
        <v>313</v>
      </c>
      <c r="AB22" s="80"/>
      <c r="AC22" s="64" t="s">
        <v>313</v>
      </c>
      <c r="AD22" s="64" t="s">
        <v>313</v>
      </c>
      <c r="AE22" s="64" t="s">
        <v>313</v>
      </c>
      <c r="AF22" s="64" t="s">
        <v>313</v>
      </c>
      <c r="AG22" s="64">
        <f t="shared" si="0"/>
        <v>26</v>
      </c>
      <c r="AH22" s="64">
        <f t="shared" si="1"/>
        <v>0</v>
      </c>
      <c r="AI22" s="64">
        <f t="shared" si="2"/>
        <v>0</v>
      </c>
    </row>
  </sheetData>
  <phoneticPr fontId="2"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2D264-1DF0-4E0B-8EC5-2A25BDC7F387}">
  <sheetPr codeName="Sheet30"/>
  <dimension ref="A11:N35"/>
  <sheetViews>
    <sheetView workbookViewId="0">
      <selection activeCell="K12" sqref="K12"/>
    </sheetView>
  </sheetViews>
  <sheetFormatPr defaultRowHeight="15" x14ac:dyDescent="0.25"/>
  <cols>
    <col min="1" max="1" width="19.85546875" customWidth="1"/>
    <col min="2" max="2" width="12.28515625" bestFit="1" customWidth="1"/>
    <col min="3" max="3" width="13.28515625" bestFit="1" customWidth="1"/>
    <col min="4" max="4" width="12.5703125" bestFit="1" customWidth="1"/>
    <col min="5" max="5" width="15" bestFit="1" customWidth="1"/>
    <col min="6" max="6" width="16" customWidth="1"/>
    <col min="7" max="7" width="15" customWidth="1"/>
    <col min="8" max="8" width="14.7109375" bestFit="1" customWidth="1"/>
    <col min="9" max="9" width="15.85546875" bestFit="1" customWidth="1"/>
    <col min="10" max="10" width="17.42578125" bestFit="1" customWidth="1"/>
    <col min="11" max="11" width="13.7109375" bestFit="1" customWidth="1"/>
    <col min="12" max="12" width="12.85546875" customWidth="1"/>
    <col min="13" max="13" width="14" customWidth="1"/>
    <col min="14" max="14" width="14.85546875" customWidth="1"/>
  </cols>
  <sheetData>
    <row r="11" spans="1:14" x14ac:dyDescent="0.25">
      <c r="A11" s="68" t="s">
        <v>291</v>
      </c>
      <c r="B11" s="68" t="s">
        <v>292</v>
      </c>
      <c r="C11" s="67" t="s">
        <v>315</v>
      </c>
      <c r="D11" s="67" t="s">
        <v>316</v>
      </c>
      <c r="E11" s="67" t="s">
        <v>317</v>
      </c>
      <c r="F11" s="67" t="s">
        <v>318</v>
      </c>
      <c r="G11" s="67" t="s">
        <v>319</v>
      </c>
      <c r="H11" s="67" t="s">
        <v>320</v>
      </c>
      <c r="I11" s="67" t="s">
        <v>321</v>
      </c>
      <c r="J11" s="67" t="s">
        <v>322</v>
      </c>
      <c r="K11" s="67" t="s">
        <v>323</v>
      </c>
      <c r="L11" s="67" t="s">
        <v>324</v>
      </c>
      <c r="M11" s="67" t="s">
        <v>325</v>
      </c>
      <c r="N11" s="67" t="s">
        <v>326</v>
      </c>
    </row>
    <row r="12" spans="1:14" x14ac:dyDescent="0.25">
      <c r="A12" s="87" t="s">
        <v>28</v>
      </c>
      <c r="B12" s="64" t="s">
        <v>293</v>
      </c>
      <c r="C12" s="64">
        <v>60000</v>
      </c>
      <c r="D12" s="64">
        <f>'ATTENDENCE SHEET '!AG12</f>
        <v>24</v>
      </c>
      <c r="E12" s="85">
        <f>C12/30*D12</f>
        <v>48000</v>
      </c>
      <c r="F12" s="64">
        <f>C12*18%</f>
        <v>10800</v>
      </c>
      <c r="G12" s="64">
        <f>C12*10%</f>
        <v>6000</v>
      </c>
      <c r="H12" s="64">
        <v>2500</v>
      </c>
      <c r="I12" s="64">
        <v>45</v>
      </c>
      <c r="J12" s="64">
        <f>C12/30/8*I12</f>
        <v>11250</v>
      </c>
      <c r="K12" s="86">
        <f>SUM(C12:J12)-I12</f>
        <v>138574</v>
      </c>
      <c r="L12" s="64">
        <f>C12*12%</f>
        <v>7200</v>
      </c>
      <c r="M12" s="64">
        <f>C12*1.75%</f>
        <v>1050</v>
      </c>
      <c r="N12" s="85">
        <f>K12-L12-M12</f>
        <v>130324</v>
      </c>
    </row>
    <row r="13" spans="1:14" x14ac:dyDescent="0.25">
      <c r="A13" s="87" t="s">
        <v>29</v>
      </c>
      <c r="B13" s="64" t="s">
        <v>294</v>
      </c>
      <c r="C13" s="64">
        <v>21000</v>
      </c>
      <c r="D13" s="64">
        <f>'ATTENDENCE SHEET '!AG13</f>
        <v>24</v>
      </c>
      <c r="E13" s="85">
        <f t="shared" ref="E13:E22" si="0">C13/30*D13</f>
        <v>16800</v>
      </c>
      <c r="F13" s="64">
        <f t="shared" ref="F13:F22" si="1">C13*18%</f>
        <v>3780</v>
      </c>
      <c r="G13" s="64">
        <f t="shared" ref="G13:G22" si="2">C13*10%</f>
        <v>2100</v>
      </c>
      <c r="H13" s="64">
        <v>1500</v>
      </c>
      <c r="I13" s="64">
        <v>17</v>
      </c>
      <c r="J13" s="64">
        <f t="shared" ref="J13:J22" si="3">C13/30/8*I13</f>
        <v>1487.5</v>
      </c>
      <c r="K13" s="86">
        <f t="shared" ref="K13:K22" si="4">SUM(C13:J13)-I13</f>
        <v>46691.5</v>
      </c>
      <c r="L13" s="64">
        <f t="shared" ref="L13:L22" si="5">C13*12%</f>
        <v>2520</v>
      </c>
      <c r="M13" s="64">
        <f t="shared" ref="M13:M22" si="6">C13*1.75%</f>
        <v>367.50000000000006</v>
      </c>
      <c r="N13" s="85">
        <f t="shared" ref="N13:N22" si="7">K13-L13-M13</f>
        <v>43804</v>
      </c>
    </row>
    <row r="14" spans="1:14" x14ac:dyDescent="0.25">
      <c r="A14" s="87" t="s">
        <v>32</v>
      </c>
      <c r="B14" s="64" t="s">
        <v>295</v>
      </c>
      <c r="C14" s="64">
        <v>25000</v>
      </c>
      <c r="D14" s="64">
        <f>'ATTENDENCE SHEET '!AG14</f>
        <v>23</v>
      </c>
      <c r="E14" s="85">
        <f t="shared" si="0"/>
        <v>19166.666666666668</v>
      </c>
      <c r="F14" s="64">
        <f t="shared" si="1"/>
        <v>4500</v>
      </c>
      <c r="G14" s="64">
        <f t="shared" si="2"/>
        <v>2500</v>
      </c>
      <c r="H14" s="64">
        <v>1000</v>
      </c>
      <c r="I14" s="64">
        <v>9</v>
      </c>
      <c r="J14" s="64">
        <f t="shared" si="3"/>
        <v>937.5</v>
      </c>
      <c r="K14" s="86">
        <f t="shared" si="4"/>
        <v>53127.166666666672</v>
      </c>
      <c r="L14" s="64">
        <f t="shared" si="5"/>
        <v>3000</v>
      </c>
      <c r="M14" s="64">
        <f t="shared" si="6"/>
        <v>437.50000000000006</v>
      </c>
      <c r="N14" s="85">
        <f t="shared" si="7"/>
        <v>49689.666666666672</v>
      </c>
    </row>
    <row r="15" spans="1:14" x14ac:dyDescent="0.25">
      <c r="A15" s="87" t="s">
        <v>42</v>
      </c>
      <c r="B15" s="64" t="s">
        <v>296</v>
      </c>
      <c r="C15" s="64">
        <v>29000</v>
      </c>
      <c r="D15" s="64">
        <f>'ATTENDENCE SHEET '!AG15</f>
        <v>22</v>
      </c>
      <c r="E15" s="85">
        <f t="shared" si="0"/>
        <v>21266.666666666664</v>
      </c>
      <c r="F15" s="64">
        <f t="shared" si="1"/>
        <v>5220</v>
      </c>
      <c r="G15" s="64">
        <f t="shared" si="2"/>
        <v>2900</v>
      </c>
      <c r="H15" s="64">
        <v>3000</v>
      </c>
      <c r="I15" s="64">
        <v>9</v>
      </c>
      <c r="J15" s="64">
        <f t="shared" si="3"/>
        <v>1087.5</v>
      </c>
      <c r="K15" s="86">
        <f t="shared" si="4"/>
        <v>62496.166666666664</v>
      </c>
      <c r="L15" s="64">
        <f t="shared" si="5"/>
        <v>3480</v>
      </c>
      <c r="M15" s="64">
        <f t="shared" si="6"/>
        <v>507.50000000000006</v>
      </c>
      <c r="N15" s="85">
        <f t="shared" si="7"/>
        <v>58508.666666666664</v>
      </c>
    </row>
    <row r="16" spans="1:14" x14ac:dyDescent="0.25">
      <c r="A16" s="87" t="s">
        <v>31</v>
      </c>
      <c r="B16" s="64" t="s">
        <v>297</v>
      </c>
      <c r="C16" s="64">
        <v>33000</v>
      </c>
      <c r="D16" s="64">
        <f>'ATTENDENCE SHEET '!AG16</f>
        <v>21</v>
      </c>
      <c r="E16" s="85">
        <f t="shared" si="0"/>
        <v>23100</v>
      </c>
      <c r="F16" s="64">
        <f t="shared" si="1"/>
        <v>5940</v>
      </c>
      <c r="G16" s="64">
        <f t="shared" si="2"/>
        <v>3300</v>
      </c>
      <c r="H16" s="64">
        <v>2500</v>
      </c>
      <c r="I16" s="64">
        <v>37</v>
      </c>
      <c r="J16" s="64">
        <f t="shared" si="3"/>
        <v>5087.5</v>
      </c>
      <c r="K16" s="86">
        <f t="shared" si="4"/>
        <v>72948.5</v>
      </c>
      <c r="L16" s="64">
        <f t="shared" si="5"/>
        <v>3960</v>
      </c>
      <c r="M16" s="64">
        <f t="shared" si="6"/>
        <v>577.5</v>
      </c>
      <c r="N16" s="85">
        <f t="shared" si="7"/>
        <v>68411</v>
      </c>
    </row>
    <row r="17" spans="1:14" x14ac:dyDescent="0.25">
      <c r="A17" s="87" t="s">
        <v>29</v>
      </c>
      <c r="B17" s="64" t="s">
        <v>298</v>
      </c>
      <c r="C17" s="64">
        <v>37000</v>
      </c>
      <c r="D17" s="64">
        <f>'ATTENDENCE SHEET '!AG17</f>
        <v>21</v>
      </c>
      <c r="E17" s="85">
        <f t="shared" si="0"/>
        <v>25900</v>
      </c>
      <c r="F17" s="64">
        <f t="shared" si="1"/>
        <v>6660</v>
      </c>
      <c r="G17" s="64">
        <f t="shared" si="2"/>
        <v>3700</v>
      </c>
      <c r="H17" s="64">
        <v>1600</v>
      </c>
      <c r="I17" s="64">
        <v>15</v>
      </c>
      <c r="J17" s="64">
        <f t="shared" si="3"/>
        <v>2312.5</v>
      </c>
      <c r="K17" s="86">
        <f t="shared" si="4"/>
        <v>77193.5</v>
      </c>
      <c r="L17" s="64">
        <f t="shared" si="5"/>
        <v>4440</v>
      </c>
      <c r="M17" s="64">
        <f t="shared" si="6"/>
        <v>647.50000000000011</v>
      </c>
      <c r="N17" s="85">
        <f t="shared" si="7"/>
        <v>72106</v>
      </c>
    </row>
    <row r="18" spans="1:14" x14ac:dyDescent="0.25">
      <c r="A18" s="87" t="s">
        <v>43</v>
      </c>
      <c r="B18" s="64" t="s">
        <v>299</v>
      </c>
      <c r="C18" s="64">
        <v>41000</v>
      </c>
      <c r="D18" s="64">
        <f>'ATTENDENCE SHEET '!AG18</f>
        <v>23</v>
      </c>
      <c r="E18" s="85">
        <f t="shared" si="0"/>
        <v>31433.333333333336</v>
      </c>
      <c r="F18" s="64">
        <f t="shared" si="1"/>
        <v>7380</v>
      </c>
      <c r="G18" s="64">
        <f t="shared" si="2"/>
        <v>4100</v>
      </c>
      <c r="H18" s="64">
        <v>1200</v>
      </c>
      <c r="I18" s="64">
        <v>16</v>
      </c>
      <c r="J18" s="64">
        <f t="shared" si="3"/>
        <v>2733.3333333333335</v>
      </c>
      <c r="K18" s="86">
        <f t="shared" si="4"/>
        <v>87869.666666666672</v>
      </c>
      <c r="L18" s="64">
        <f t="shared" si="5"/>
        <v>4920</v>
      </c>
      <c r="M18" s="64">
        <f t="shared" si="6"/>
        <v>717.50000000000011</v>
      </c>
      <c r="N18" s="85">
        <f t="shared" si="7"/>
        <v>82232.166666666672</v>
      </c>
    </row>
    <row r="19" spans="1:14" x14ac:dyDescent="0.25">
      <c r="A19" s="87" t="s">
        <v>30</v>
      </c>
      <c r="B19" s="64" t="s">
        <v>300</v>
      </c>
      <c r="C19" s="64">
        <v>45000</v>
      </c>
      <c r="D19" s="64">
        <f>'ATTENDENCE SHEET '!AG19</f>
        <v>24</v>
      </c>
      <c r="E19" s="85">
        <f t="shared" si="0"/>
        <v>36000</v>
      </c>
      <c r="F19" s="64">
        <f t="shared" si="1"/>
        <v>8100</v>
      </c>
      <c r="G19" s="64">
        <f t="shared" si="2"/>
        <v>4500</v>
      </c>
      <c r="H19" s="64">
        <v>2200</v>
      </c>
      <c r="I19" s="64">
        <v>28</v>
      </c>
      <c r="J19" s="64">
        <f t="shared" si="3"/>
        <v>5250</v>
      </c>
      <c r="K19" s="86">
        <f t="shared" si="4"/>
        <v>101074</v>
      </c>
      <c r="L19" s="64">
        <f t="shared" si="5"/>
        <v>5400</v>
      </c>
      <c r="M19" s="64">
        <f t="shared" si="6"/>
        <v>787.50000000000011</v>
      </c>
      <c r="N19" s="85">
        <f t="shared" si="7"/>
        <v>94886.5</v>
      </c>
    </row>
    <row r="20" spans="1:14" x14ac:dyDescent="0.25">
      <c r="A20" s="87" t="s">
        <v>35</v>
      </c>
      <c r="B20" s="64" t="s">
        <v>301</v>
      </c>
      <c r="C20" s="64">
        <v>49000</v>
      </c>
      <c r="D20" s="64">
        <f>'ATTENDENCE SHEET '!AG20</f>
        <v>23</v>
      </c>
      <c r="E20" s="85">
        <f t="shared" si="0"/>
        <v>37566.666666666664</v>
      </c>
      <c r="F20" s="64">
        <f t="shared" si="1"/>
        <v>8820</v>
      </c>
      <c r="G20" s="64">
        <f t="shared" si="2"/>
        <v>4900</v>
      </c>
      <c r="H20" s="64">
        <v>1900</v>
      </c>
      <c r="I20" s="64">
        <v>54</v>
      </c>
      <c r="J20" s="64">
        <f t="shared" si="3"/>
        <v>11025</v>
      </c>
      <c r="K20" s="86">
        <f t="shared" si="4"/>
        <v>113234.66666666666</v>
      </c>
      <c r="L20" s="64">
        <f t="shared" si="5"/>
        <v>5880</v>
      </c>
      <c r="M20" s="64">
        <f t="shared" si="6"/>
        <v>857.50000000000011</v>
      </c>
      <c r="N20" s="85">
        <f t="shared" si="7"/>
        <v>106497.16666666666</v>
      </c>
    </row>
    <row r="21" spans="1:14" x14ac:dyDescent="0.25">
      <c r="A21" s="87" t="s">
        <v>213</v>
      </c>
      <c r="B21" s="64" t="s">
        <v>302</v>
      </c>
      <c r="C21" s="64">
        <v>53000</v>
      </c>
      <c r="D21" s="64">
        <f>'ATTENDENCE SHEET '!AG21</f>
        <v>23</v>
      </c>
      <c r="E21" s="85">
        <f t="shared" si="0"/>
        <v>40633.333333333336</v>
      </c>
      <c r="F21" s="64">
        <f t="shared" si="1"/>
        <v>9540</v>
      </c>
      <c r="G21" s="64">
        <f t="shared" si="2"/>
        <v>5300</v>
      </c>
      <c r="H21" s="64">
        <v>3500</v>
      </c>
      <c r="I21" s="64">
        <v>73</v>
      </c>
      <c r="J21" s="64">
        <f t="shared" si="3"/>
        <v>16120.833333333334</v>
      </c>
      <c r="K21" s="86">
        <f t="shared" si="4"/>
        <v>128117.16666666667</v>
      </c>
      <c r="L21" s="64">
        <f t="shared" si="5"/>
        <v>6360</v>
      </c>
      <c r="M21" s="64">
        <f t="shared" si="6"/>
        <v>927.50000000000011</v>
      </c>
      <c r="N21" s="85">
        <f t="shared" si="7"/>
        <v>120829.66666666667</v>
      </c>
    </row>
    <row r="22" spans="1:14" x14ac:dyDescent="0.25">
      <c r="A22" s="87" t="s">
        <v>37</v>
      </c>
      <c r="B22" s="64" t="s">
        <v>309</v>
      </c>
      <c r="C22" s="64">
        <v>57000</v>
      </c>
      <c r="D22" s="64">
        <f>'ATTENDENCE SHEET '!AG22</f>
        <v>26</v>
      </c>
      <c r="E22" s="85">
        <f t="shared" si="0"/>
        <v>49400</v>
      </c>
      <c r="F22" s="64">
        <f t="shared" si="1"/>
        <v>10260</v>
      </c>
      <c r="G22" s="64">
        <f t="shared" si="2"/>
        <v>5700</v>
      </c>
      <c r="H22" s="64">
        <v>1100</v>
      </c>
      <c r="I22" s="64">
        <v>21</v>
      </c>
      <c r="J22" s="64">
        <f t="shared" si="3"/>
        <v>4987.5</v>
      </c>
      <c r="K22" s="86">
        <f t="shared" si="4"/>
        <v>128473.5</v>
      </c>
      <c r="L22" s="64">
        <f t="shared" si="5"/>
        <v>6840</v>
      </c>
      <c r="M22" s="64">
        <f t="shared" si="6"/>
        <v>997.50000000000011</v>
      </c>
      <c r="N22" s="85">
        <f t="shared" si="7"/>
        <v>120636</v>
      </c>
    </row>
    <row r="35" spans="7:7" x14ac:dyDescent="0.25">
      <c r="G35" t="str">
        <f>CONCATENATE(A12,A13)</f>
        <v>SANJANAKOMAL</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CE4C6-57F2-4969-B588-FBB751A39C40}">
  <sheetPr codeName="Sheet28"/>
  <dimension ref="A7:AB43"/>
  <sheetViews>
    <sheetView topLeftCell="A6" workbookViewId="0">
      <selection activeCell="O18" sqref="O18"/>
    </sheetView>
  </sheetViews>
  <sheetFormatPr defaultRowHeight="15" x14ac:dyDescent="0.25"/>
  <cols>
    <col min="1" max="1" width="14.7109375" bestFit="1" customWidth="1"/>
    <col min="4" max="4" width="21.140625" customWidth="1"/>
    <col min="6" max="6" width="12.7109375" bestFit="1" customWidth="1"/>
    <col min="7" max="7" width="20" bestFit="1" customWidth="1"/>
    <col min="8" max="8" width="13.85546875" bestFit="1" customWidth="1"/>
    <col min="9" max="9" width="12" bestFit="1" customWidth="1"/>
    <col min="11" max="11" width="11.28515625" bestFit="1" customWidth="1"/>
    <col min="12" max="12" width="13.5703125" customWidth="1"/>
    <col min="13" max="13" width="18.85546875" customWidth="1"/>
    <col min="14" max="14" width="19.28515625" bestFit="1" customWidth="1"/>
    <col min="15" max="15" width="21" bestFit="1" customWidth="1"/>
    <col min="16" max="16" width="22.28515625" bestFit="1" customWidth="1"/>
    <col min="17" max="17" width="24" bestFit="1" customWidth="1"/>
  </cols>
  <sheetData>
    <row r="7" spans="4:28" ht="14.25" customHeight="1" x14ac:dyDescent="0.25"/>
    <row r="8" spans="4:28" ht="47.25" customHeight="1" x14ac:dyDescent="0.25">
      <c r="D8" s="94" t="s">
        <v>336</v>
      </c>
      <c r="E8" s="88"/>
      <c r="F8" s="89" t="s">
        <v>0</v>
      </c>
      <c r="G8" s="89" t="s">
        <v>1</v>
      </c>
      <c r="H8" s="89" t="s">
        <v>2</v>
      </c>
      <c r="I8" s="89" t="s">
        <v>5</v>
      </c>
      <c r="J8" s="89" t="s">
        <v>3</v>
      </c>
      <c r="K8" s="89" t="s">
        <v>4</v>
      </c>
      <c r="L8" s="88"/>
      <c r="M8" s="88"/>
      <c r="N8" s="88"/>
      <c r="O8" s="88"/>
      <c r="P8" s="88"/>
      <c r="Q8" s="88"/>
      <c r="R8" s="88"/>
      <c r="S8" s="88"/>
      <c r="T8" s="88"/>
      <c r="U8" s="88"/>
      <c r="V8" s="88"/>
      <c r="W8" s="88"/>
      <c r="X8" s="88"/>
      <c r="Y8" s="88"/>
      <c r="Z8" s="88"/>
      <c r="AA8" s="88"/>
      <c r="AB8" s="88"/>
    </row>
    <row r="9" spans="4:28" x14ac:dyDescent="0.25">
      <c r="D9" s="88"/>
      <c r="E9" s="88"/>
      <c r="F9" s="88">
        <f>PI()</f>
        <v>3.1415926535897931</v>
      </c>
      <c r="G9" s="90">
        <f ca="1">NOW()</f>
        <v>46247.606862615743</v>
      </c>
      <c r="H9" s="32">
        <f ca="1">TODAY()</f>
        <v>46247</v>
      </c>
      <c r="I9" s="88">
        <f ca="1">RAND()</f>
        <v>0.71040599247396063</v>
      </c>
      <c r="J9" s="88">
        <f>ROW()</f>
        <v>9</v>
      </c>
      <c r="K9" s="88">
        <f>COLUMN()</f>
        <v>11</v>
      </c>
      <c r="L9" s="88"/>
      <c r="M9" s="88"/>
      <c r="N9" s="88"/>
      <c r="O9" s="88"/>
      <c r="P9" s="88"/>
      <c r="Q9" s="88"/>
      <c r="R9" s="88"/>
      <c r="S9" s="88"/>
      <c r="T9" s="88"/>
      <c r="U9" s="88"/>
      <c r="V9" s="88"/>
      <c r="W9" s="88"/>
      <c r="X9" s="88"/>
      <c r="Y9" s="88"/>
      <c r="Z9" s="88"/>
      <c r="AA9" s="88"/>
      <c r="AB9" s="88"/>
    </row>
    <row r="10" spans="4:28" x14ac:dyDescent="0.25">
      <c r="D10" s="88"/>
      <c r="E10" s="88"/>
      <c r="F10" s="88"/>
      <c r="G10" s="88"/>
      <c r="H10" s="88"/>
      <c r="I10" s="88"/>
      <c r="J10" s="88"/>
      <c r="K10" s="88"/>
      <c r="L10" s="88"/>
      <c r="M10" s="88"/>
      <c r="N10" s="88"/>
      <c r="O10" s="88"/>
      <c r="P10" s="88"/>
      <c r="Q10" s="88"/>
      <c r="R10" s="88"/>
      <c r="S10" s="88"/>
      <c r="T10" s="88"/>
      <c r="U10" s="88"/>
      <c r="V10" s="88"/>
      <c r="W10" s="88"/>
      <c r="X10" s="88"/>
      <c r="Y10" s="88"/>
      <c r="Z10" s="88"/>
      <c r="AA10" s="88"/>
      <c r="AB10" s="88"/>
    </row>
    <row r="11" spans="4:28" x14ac:dyDescent="0.25">
      <c r="D11" s="88"/>
      <c r="E11" s="88"/>
      <c r="F11" s="91" t="str">
        <f ca="1">_xlfn.FORMULATEXT(F9)</f>
        <v>=PI()</v>
      </c>
      <c r="G11" s="91" t="str">
        <f t="shared" ref="G11:K11" ca="1" si="0">_xlfn.FORMULATEXT(G9)</f>
        <v>=NOW()</v>
      </c>
      <c r="H11" s="91" t="str">
        <f t="shared" ca="1" si="0"/>
        <v>=TODAY()</v>
      </c>
      <c r="I11" s="91" t="str">
        <f t="shared" ca="1" si="0"/>
        <v>=RAND()</v>
      </c>
      <c r="J11" s="91" t="str">
        <f t="shared" ca="1" si="0"/>
        <v>=ROW()</v>
      </c>
      <c r="K11" s="91" t="str">
        <f t="shared" ca="1" si="0"/>
        <v>=COLUMN()</v>
      </c>
      <c r="L11" s="88"/>
      <c r="M11" s="17" t="s">
        <v>14</v>
      </c>
      <c r="N11" s="92"/>
      <c r="O11" s="17" t="s">
        <v>15</v>
      </c>
      <c r="P11" s="92"/>
      <c r="Q11" s="17" t="s">
        <v>16</v>
      </c>
      <c r="R11" s="88"/>
      <c r="S11" s="88"/>
      <c r="T11" s="88"/>
      <c r="U11" s="88"/>
      <c r="V11" s="88"/>
      <c r="W11" s="88"/>
      <c r="X11" s="88"/>
      <c r="Y11" s="88"/>
      <c r="Z11" s="88"/>
      <c r="AA11" s="88"/>
      <c r="AB11" s="88"/>
    </row>
    <row r="12" spans="4:28" x14ac:dyDescent="0.25">
      <c r="D12" s="88"/>
      <c r="E12" s="88"/>
      <c r="F12" s="88"/>
      <c r="G12" s="88"/>
      <c r="H12" s="88"/>
      <c r="I12" s="88"/>
      <c r="J12" s="88"/>
      <c r="K12" s="88"/>
      <c r="L12" s="88"/>
      <c r="M12" s="11" t="s">
        <v>339</v>
      </c>
      <c r="N12" s="88"/>
      <c r="O12" s="87" t="s">
        <v>340</v>
      </c>
      <c r="P12" s="88"/>
      <c r="Q12" s="87" t="s">
        <v>341</v>
      </c>
      <c r="R12" s="88"/>
      <c r="S12" s="88"/>
      <c r="T12" s="88"/>
      <c r="U12" s="88"/>
      <c r="V12" s="88"/>
      <c r="W12" s="88"/>
      <c r="X12" s="88"/>
      <c r="Y12" s="88"/>
      <c r="Z12" s="88"/>
      <c r="AA12" s="88"/>
      <c r="AB12" s="88"/>
    </row>
    <row r="13" spans="4:28" x14ac:dyDescent="0.25">
      <c r="D13" s="88"/>
      <c r="E13" s="88"/>
      <c r="F13" s="88"/>
      <c r="G13" s="88"/>
      <c r="H13" s="88"/>
      <c r="I13" s="88"/>
      <c r="J13" s="88"/>
      <c r="K13" s="88"/>
      <c r="L13" s="88"/>
      <c r="N13" s="88"/>
      <c r="O13" s="88"/>
      <c r="P13" s="88"/>
      <c r="Q13" s="88"/>
      <c r="R13" s="88"/>
      <c r="S13" s="88"/>
      <c r="T13" s="88"/>
      <c r="U13" s="88"/>
      <c r="V13" s="88"/>
      <c r="W13" s="88"/>
      <c r="X13" s="88"/>
      <c r="Y13" s="88"/>
      <c r="Z13" s="88"/>
      <c r="AA13" s="88"/>
      <c r="AB13" s="88"/>
    </row>
    <row r="14" spans="4:28" x14ac:dyDescent="0.25">
      <c r="D14" s="88"/>
      <c r="E14" s="88"/>
      <c r="F14" s="88"/>
      <c r="G14" s="88"/>
      <c r="H14" s="88"/>
      <c r="I14" s="88"/>
      <c r="J14" s="88"/>
      <c r="K14" s="88"/>
      <c r="L14" s="88"/>
      <c r="M14" s="88"/>
      <c r="N14" s="88"/>
      <c r="O14" s="88"/>
      <c r="P14" s="88"/>
      <c r="Q14" s="88"/>
      <c r="R14" s="88"/>
      <c r="S14" s="88"/>
      <c r="T14" s="88"/>
      <c r="U14" s="88"/>
      <c r="V14" s="88"/>
      <c r="W14" s="88"/>
      <c r="X14" s="88"/>
      <c r="Y14" s="88"/>
      <c r="Z14" s="88"/>
      <c r="AA14" s="88"/>
      <c r="AB14" s="88"/>
    </row>
    <row r="15" spans="4:28" x14ac:dyDescent="0.25">
      <c r="D15" s="88"/>
      <c r="E15" s="88"/>
      <c r="F15" s="88"/>
      <c r="G15" s="88"/>
      <c r="H15" s="88"/>
      <c r="I15" s="88"/>
      <c r="J15" s="88"/>
      <c r="K15" s="88"/>
      <c r="M15" s="88" t="s">
        <v>342</v>
      </c>
      <c r="N15" s="88"/>
      <c r="O15" s="88">
        <f>COUNT(M15:M19)</f>
        <v>2</v>
      </c>
      <c r="P15" s="88"/>
      <c r="Q15" s="93" t="str">
        <f ca="1">_xlfn.FORMULATEXT(O15)</f>
        <v>=COUNT(M15:M19)</v>
      </c>
      <c r="R15" s="88"/>
      <c r="S15" s="88"/>
      <c r="T15" s="88"/>
      <c r="U15" s="88"/>
      <c r="V15" s="88"/>
      <c r="W15" s="88"/>
      <c r="X15" s="88"/>
      <c r="Y15" s="88"/>
      <c r="Z15" s="88"/>
      <c r="AA15" s="88"/>
      <c r="AB15" s="88"/>
    </row>
    <row r="16" spans="4:28" x14ac:dyDescent="0.25">
      <c r="D16" s="88"/>
      <c r="E16" s="88"/>
      <c r="F16" s="88"/>
      <c r="G16" s="88"/>
      <c r="H16" s="88"/>
      <c r="I16" s="88"/>
      <c r="J16" s="88"/>
      <c r="K16" s="88"/>
      <c r="M16" s="88">
        <v>63</v>
      </c>
      <c r="N16" s="88"/>
      <c r="O16" s="88">
        <f>COUNTA(M15:M20)</f>
        <v>5</v>
      </c>
      <c r="P16" s="88"/>
      <c r="Q16" s="93" t="str">
        <f t="shared" ref="Q16:Q17" ca="1" si="1">_xlfn.FORMULATEXT(O16)</f>
        <v>=COUNTA(M15:M20)</v>
      </c>
      <c r="R16" s="88"/>
      <c r="S16" s="88"/>
      <c r="T16" s="88"/>
      <c r="U16" s="88"/>
      <c r="V16" s="88"/>
      <c r="W16" s="88"/>
      <c r="X16" s="88"/>
      <c r="Y16" s="88"/>
      <c r="Z16" s="88"/>
      <c r="AA16" s="88"/>
      <c r="AB16" s="88"/>
    </row>
    <row r="17" spans="1:28" ht="27.75" customHeight="1" x14ac:dyDescent="0.25">
      <c r="D17" s="94" t="s">
        <v>337</v>
      </c>
      <c r="E17" s="88"/>
      <c r="F17" s="88"/>
      <c r="G17" s="88"/>
      <c r="H17" s="88"/>
      <c r="I17" s="88"/>
      <c r="J17" s="88"/>
      <c r="K17" s="88"/>
      <c r="M17" s="88" t="s">
        <v>343</v>
      </c>
      <c r="N17" s="88"/>
      <c r="O17" s="88">
        <f>COUNTBLANK(M15:M20)</f>
        <v>1</v>
      </c>
      <c r="P17" s="88"/>
      <c r="Q17" s="93" t="str">
        <f t="shared" ca="1" si="1"/>
        <v>=COUNTBLANK(M15:M20)</v>
      </c>
      <c r="R17" s="88"/>
      <c r="S17" s="88"/>
      <c r="T17" s="88"/>
      <c r="U17" s="88"/>
      <c r="V17" s="88"/>
      <c r="W17" s="88"/>
      <c r="X17" s="88"/>
      <c r="Y17" s="88"/>
      <c r="Z17" s="88"/>
      <c r="AA17" s="88"/>
      <c r="AB17" s="88"/>
    </row>
    <row r="18" spans="1:28" x14ac:dyDescent="0.25">
      <c r="D18" s="88"/>
      <c r="E18" s="88"/>
      <c r="F18" s="88"/>
      <c r="G18" s="88"/>
      <c r="H18" s="88"/>
      <c r="I18" s="88"/>
      <c r="J18" s="88"/>
      <c r="K18" s="88"/>
      <c r="M18" s="88" t="s">
        <v>344</v>
      </c>
      <c r="N18" s="88"/>
      <c r="O18" s="88"/>
      <c r="P18" s="88"/>
      <c r="Q18" s="88"/>
      <c r="R18" s="88"/>
      <c r="S18" s="88"/>
      <c r="T18" s="88"/>
      <c r="U18" s="88"/>
      <c r="V18" s="88"/>
      <c r="W18" s="88"/>
      <c r="X18" s="88"/>
      <c r="Y18" s="88"/>
      <c r="Z18" s="88"/>
      <c r="AA18" s="88"/>
      <c r="AB18" s="88"/>
    </row>
    <row r="19" spans="1:28" x14ac:dyDescent="0.25">
      <c r="D19" s="88"/>
      <c r="E19" s="16">
        <v>48</v>
      </c>
      <c r="F19" s="16">
        <v>73</v>
      </c>
      <c r="G19" s="88"/>
      <c r="H19" s="88"/>
      <c r="I19" s="88"/>
      <c r="J19" s="88"/>
      <c r="K19" s="88"/>
      <c r="M19" s="88">
        <v>72</v>
      </c>
      <c r="N19" s="88"/>
      <c r="O19" s="88"/>
      <c r="P19" s="88"/>
      <c r="Q19" s="88"/>
      <c r="R19" s="88"/>
      <c r="S19" s="88"/>
      <c r="T19" s="88"/>
      <c r="U19" s="88"/>
      <c r="V19" s="88"/>
      <c r="W19" s="88"/>
      <c r="X19" s="88"/>
      <c r="Y19" s="88"/>
      <c r="Z19" s="88"/>
      <c r="AA19" s="88"/>
      <c r="AB19" s="88"/>
    </row>
    <row r="20" spans="1:28" x14ac:dyDescent="0.25">
      <c r="D20" s="41" t="s">
        <v>6</v>
      </c>
      <c r="E20" s="16">
        <v>42</v>
      </c>
      <c r="F20" s="16">
        <v>42</v>
      </c>
      <c r="G20" s="88"/>
      <c r="H20" s="88"/>
      <c r="I20" s="88"/>
      <c r="J20" s="88"/>
      <c r="K20" s="88"/>
      <c r="M20" s="88"/>
      <c r="N20" s="88"/>
      <c r="O20" s="88"/>
      <c r="P20" s="88"/>
      <c r="Q20" s="88"/>
      <c r="R20" s="88"/>
      <c r="S20" s="88"/>
      <c r="T20" s="88"/>
      <c r="U20" s="88"/>
      <c r="V20" s="88"/>
      <c r="W20" s="88"/>
      <c r="X20" s="88"/>
      <c r="Y20" s="88"/>
      <c r="Z20" s="88"/>
      <c r="AA20" s="88"/>
      <c r="AB20" s="88"/>
    </row>
    <row r="21" spans="1:28" x14ac:dyDescent="0.25">
      <c r="A21" t="s">
        <v>95</v>
      </c>
      <c r="D21" s="88"/>
      <c r="E21" s="16">
        <v>70</v>
      </c>
      <c r="F21" s="16">
        <v>53</v>
      </c>
      <c r="G21" s="88"/>
      <c r="H21" s="88"/>
      <c r="I21" s="88"/>
      <c r="J21" s="88"/>
      <c r="K21" s="88"/>
      <c r="M21" s="17" t="s">
        <v>331</v>
      </c>
      <c r="N21" s="17"/>
      <c r="O21" s="17" t="s">
        <v>330</v>
      </c>
      <c r="P21" s="17"/>
      <c r="Q21" s="17" t="s">
        <v>332</v>
      </c>
      <c r="R21" s="88"/>
      <c r="S21" s="88"/>
      <c r="T21" s="88"/>
      <c r="U21" s="88"/>
      <c r="V21" s="88"/>
      <c r="W21" s="88"/>
      <c r="X21" s="88"/>
      <c r="Y21" s="88"/>
      <c r="Z21" s="88"/>
      <c r="AA21" s="88"/>
      <c r="AB21" s="88"/>
    </row>
    <row r="22" spans="1:28" x14ac:dyDescent="0.25">
      <c r="A22" t="s">
        <v>327</v>
      </c>
      <c r="D22" s="88"/>
      <c r="E22" s="88"/>
      <c r="F22" s="88"/>
      <c r="G22" s="88"/>
      <c r="H22" s="88"/>
      <c r="I22" s="88"/>
      <c r="J22" s="88"/>
      <c r="K22" s="88"/>
      <c r="M22" s="88" t="s">
        <v>339</v>
      </c>
      <c r="N22" s="88"/>
      <c r="O22" s="88" t="s">
        <v>345</v>
      </c>
      <c r="P22" s="88"/>
      <c r="Q22" s="88" t="s">
        <v>346</v>
      </c>
      <c r="R22" s="88"/>
      <c r="S22" s="88"/>
      <c r="T22" s="88"/>
      <c r="U22" s="88"/>
      <c r="V22" s="88"/>
      <c r="W22" s="88"/>
      <c r="X22" s="88"/>
      <c r="Y22" s="88"/>
      <c r="Z22" s="88"/>
      <c r="AA22" s="88"/>
      <c r="AB22" s="88"/>
    </row>
    <row r="23" spans="1:28" x14ac:dyDescent="0.25">
      <c r="D23" s="88"/>
      <c r="E23" s="88"/>
      <c r="F23" s="88"/>
      <c r="G23" s="88"/>
      <c r="H23" s="88"/>
      <c r="I23" s="88"/>
      <c r="J23" s="88"/>
      <c r="K23" s="88"/>
      <c r="M23" s="88"/>
      <c r="N23" s="88"/>
      <c r="O23" s="88"/>
      <c r="P23" s="88"/>
      <c r="Q23" s="88"/>
      <c r="R23" s="88"/>
      <c r="S23" s="88"/>
      <c r="T23" s="88"/>
      <c r="U23" s="88"/>
      <c r="V23" s="88"/>
      <c r="W23" s="88"/>
      <c r="X23" s="88"/>
      <c r="Y23" s="88"/>
      <c r="Z23" s="88"/>
      <c r="AA23" s="88"/>
      <c r="AB23" s="88"/>
    </row>
    <row r="24" spans="1:28" x14ac:dyDescent="0.25">
      <c r="D24" s="17" t="s">
        <v>9</v>
      </c>
      <c r="E24" s="88"/>
      <c r="F24" s="91">
        <f>MIN(E19:F21)</f>
        <v>42</v>
      </c>
      <c r="G24" s="91" t="str">
        <f ca="1">_xlfn.FORMULATEXT(F24)</f>
        <v>=MIN(E19:F21)</v>
      </c>
      <c r="H24" s="88"/>
      <c r="I24" s="88"/>
      <c r="J24" s="88"/>
      <c r="K24" s="88"/>
      <c r="M24" s="88"/>
      <c r="N24" s="88"/>
      <c r="O24" s="88"/>
      <c r="P24" s="88"/>
      <c r="Q24" s="88"/>
      <c r="R24" s="88"/>
      <c r="S24" s="88"/>
      <c r="T24" s="88"/>
      <c r="U24" s="88"/>
      <c r="V24" s="88"/>
      <c r="W24" s="88"/>
      <c r="X24" s="88"/>
      <c r="Y24" s="88"/>
      <c r="Z24" s="88"/>
      <c r="AA24" s="88"/>
      <c r="AB24" s="88"/>
    </row>
    <row r="25" spans="1:28" x14ac:dyDescent="0.25">
      <c r="D25" s="17" t="s">
        <v>8</v>
      </c>
      <c r="E25" s="88"/>
      <c r="F25" s="91">
        <f>MAX(E19:F21)</f>
        <v>73</v>
      </c>
      <c r="G25" s="91" t="str">
        <f t="shared" ref="G25:G26" ca="1" si="2">_xlfn.FORMULATEXT(F25)</f>
        <v>=MAX(E19:F21)</v>
      </c>
      <c r="H25" s="88"/>
      <c r="I25" s="88"/>
      <c r="J25" s="88"/>
      <c r="K25" s="88"/>
      <c r="M25" s="88" t="s">
        <v>342</v>
      </c>
      <c r="N25" s="88"/>
      <c r="O25" s="16" t="b" cm="1">
        <f t="array" ref="O25:O29">ISNUMBER(M25:M29)</f>
        <v>0</v>
      </c>
      <c r="P25" s="38" t="b" cm="1">
        <f t="array" ref="P25:P29">ISTEXT(M25:M29)</f>
        <v>1</v>
      </c>
      <c r="Q25" s="16" t="b" cm="1">
        <f t="array" ref="Q25:Q29">ISBLANK(M25:M29)</f>
        <v>0</v>
      </c>
      <c r="R25" s="88"/>
      <c r="S25" s="88"/>
      <c r="T25" s="88"/>
      <c r="U25" s="88"/>
      <c r="V25" s="88"/>
      <c r="W25" s="88"/>
      <c r="X25" s="88"/>
      <c r="Y25" s="88"/>
      <c r="Z25" s="88"/>
      <c r="AA25" s="88"/>
      <c r="AB25" s="88"/>
    </row>
    <row r="26" spans="1:28" x14ac:dyDescent="0.25">
      <c r="D26" s="17" t="s">
        <v>10</v>
      </c>
      <c r="E26" s="88"/>
      <c r="F26" s="91">
        <f>AVERAGE(E19:F21)</f>
        <v>54.666666666666664</v>
      </c>
      <c r="G26" s="91" t="str">
        <f t="shared" ca="1" si="2"/>
        <v>=AVERAGE(E19:F21)</v>
      </c>
      <c r="H26" s="88"/>
      <c r="I26" s="88"/>
      <c r="J26" s="88"/>
      <c r="K26" s="88"/>
      <c r="M26" s="88">
        <v>33</v>
      </c>
      <c r="N26" s="88"/>
      <c r="O26" s="38" t="b">
        <v>1</v>
      </c>
      <c r="P26" s="16" t="b">
        <v>0</v>
      </c>
      <c r="Q26" s="16" t="b">
        <v>0</v>
      </c>
      <c r="R26" s="88"/>
      <c r="S26" s="88"/>
      <c r="T26" s="88"/>
      <c r="U26" s="88"/>
      <c r="V26" s="88"/>
      <c r="W26" s="88"/>
      <c r="X26" s="88"/>
      <c r="Y26" s="88"/>
      <c r="Z26" s="88"/>
      <c r="AA26" s="88"/>
      <c r="AB26" s="88"/>
    </row>
    <row r="27" spans="1:28" x14ac:dyDescent="0.25">
      <c r="D27" s="88"/>
      <c r="E27" s="88"/>
      <c r="F27" s="88"/>
      <c r="G27" s="88"/>
      <c r="H27" s="88"/>
      <c r="I27" s="88"/>
      <c r="J27" s="88"/>
      <c r="K27" s="88"/>
      <c r="M27" s="88"/>
      <c r="N27" s="88"/>
      <c r="O27" s="16" t="b">
        <v>0</v>
      </c>
      <c r="P27" s="16" t="b">
        <v>0</v>
      </c>
      <c r="Q27" s="38" t="b">
        <v>1</v>
      </c>
      <c r="R27" s="88"/>
      <c r="S27" s="88"/>
      <c r="T27" s="88"/>
      <c r="U27" s="88"/>
      <c r="V27" s="88"/>
      <c r="W27" s="88"/>
      <c r="X27" s="88"/>
      <c r="Y27" s="88"/>
      <c r="Z27" s="88"/>
      <c r="AA27" s="88"/>
      <c r="AB27" s="88"/>
    </row>
    <row r="28" spans="1:28" x14ac:dyDescent="0.25">
      <c r="D28" s="17" t="s">
        <v>12</v>
      </c>
      <c r="E28" s="88"/>
      <c r="F28" s="87" t="s">
        <v>37</v>
      </c>
      <c r="G28" s="87" t="s">
        <v>213</v>
      </c>
      <c r="H28" s="87" t="s">
        <v>41</v>
      </c>
      <c r="I28" s="87" t="s">
        <v>338</v>
      </c>
      <c r="J28" s="88"/>
      <c r="K28" s="88"/>
      <c r="M28" s="88" t="s">
        <v>347</v>
      </c>
      <c r="N28" s="88"/>
      <c r="O28" s="16" t="b">
        <v>0</v>
      </c>
      <c r="P28" s="38" t="b">
        <v>1</v>
      </c>
      <c r="Q28" s="16" t="b">
        <v>0</v>
      </c>
      <c r="R28" s="88"/>
      <c r="S28" s="88"/>
      <c r="T28" s="88"/>
      <c r="U28" s="88"/>
      <c r="V28" s="88"/>
      <c r="W28" s="88"/>
      <c r="X28" s="88"/>
      <c r="Y28" s="88"/>
      <c r="Z28" s="88"/>
      <c r="AA28" s="88"/>
      <c r="AB28" s="88"/>
    </row>
    <row r="29" spans="1:28" x14ac:dyDescent="0.25">
      <c r="D29" s="17" t="s">
        <v>11</v>
      </c>
      <c r="E29" s="88"/>
      <c r="F29" s="88" t="str">
        <f>LOWER(F28)</f>
        <v>yash</v>
      </c>
      <c r="G29" s="88" t="str">
        <f>UPPER(G28)</f>
        <v>SANA</v>
      </c>
      <c r="H29" s="88" t="str">
        <f>PROPER(H28)</f>
        <v>Rashmi</v>
      </c>
      <c r="I29" s="88">
        <f>LEN(I28)</f>
        <v>5</v>
      </c>
      <c r="J29" s="88"/>
      <c r="K29" s="88"/>
      <c r="M29" s="88" t="s">
        <v>348</v>
      </c>
      <c r="N29" s="88"/>
      <c r="O29" s="16" t="b">
        <v>0</v>
      </c>
      <c r="P29" s="38" t="b">
        <v>1</v>
      </c>
      <c r="Q29" s="16" t="b">
        <v>0</v>
      </c>
      <c r="R29" s="88"/>
      <c r="S29" s="88"/>
      <c r="T29" s="88"/>
      <c r="U29" s="88"/>
      <c r="V29" s="88"/>
      <c r="W29" s="88"/>
      <c r="X29" s="88"/>
      <c r="Y29" s="88"/>
      <c r="Z29" s="88"/>
      <c r="AA29" s="88"/>
      <c r="AB29" s="88"/>
    </row>
    <row r="30" spans="1:28" x14ac:dyDescent="0.25">
      <c r="D30" s="17" t="s">
        <v>13</v>
      </c>
      <c r="E30" s="88"/>
      <c r="F30" s="88"/>
      <c r="G30" s="88"/>
      <c r="H30" s="88"/>
      <c r="I30" s="88"/>
      <c r="J30" s="88"/>
      <c r="K30" s="88"/>
      <c r="M30" s="88"/>
      <c r="N30" s="88"/>
      <c r="O30" s="88"/>
      <c r="P30" s="88"/>
      <c r="Q30" s="88"/>
      <c r="R30" s="88"/>
      <c r="S30" s="88"/>
      <c r="T30" s="88"/>
      <c r="U30" s="88"/>
      <c r="V30" s="88"/>
      <c r="W30" s="88"/>
      <c r="X30" s="88"/>
      <c r="Y30" s="88"/>
      <c r="Z30" s="88"/>
      <c r="AA30" s="88"/>
      <c r="AB30" s="88"/>
    </row>
    <row r="31" spans="1:28" x14ac:dyDescent="0.25">
      <c r="D31" s="17" t="s">
        <v>7</v>
      </c>
      <c r="E31" s="88"/>
      <c r="F31" s="91" t="str">
        <f ca="1">_xlfn.FORMULATEXT(F29)</f>
        <v>=LOWER(F28)</v>
      </c>
      <c r="G31" s="91" t="str">
        <f t="shared" ref="G31:I31" ca="1" si="3">_xlfn.FORMULATEXT(G29)</f>
        <v>=UPPER(G28)</v>
      </c>
      <c r="H31" s="91" t="str">
        <f t="shared" ca="1" si="3"/>
        <v>=PROPER(H28)</v>
      </c>
      <c r="I31" s="91" t="str">
        <f t="shared" ca="1" si="3"/>
        <v>=LEN(I28)</v>
      </c>
      <c r="J31" s="88"/>
      <c r="K31" s="88"/>
      <c r="M31" s="88"/>
      <c r="N31" s="88"/>
      <c r="O31" s="93" t="str">
        <f ca="1">_xlfn.FORMULATEXT(O25)</f>
        <v>=ISNUMBER(M25:M29)</v>
      </c>
      <c r="P31" s="93" t="str">
        <f t="shared" ref="P31:Q31" ca="1" si="4">_xlfn.FORMULATEXT(P25)</f>
        <v>=ISTEXT(M25:M29)</v>
      </c>
      <c r="Q31" s="93" t="str">
        <f t="shared" ca="1" si="4"/>
        <v>=ISBLANK(M25:M29)</v>
      </c>
      <c r="R31" s="88"/>
      <c r="S31" s="88"/>
      <c r="T31" s="88"/>
      <c r="U31" s="88"/>
      <c r="V31" s="88"/>
      <c r="W31" s="88"/>
      <c r="X31" s="88"/>
      <c r="Y31" s="88"/>
      <c r="Z31" s="88"/>
      <c r="AA31" s="88"/>
      <c r="AB31" s="88"/>
    </row>
    <row r="32" spans="1:28" x14ac:dyDescent="0.25">
      <c r="D32" s="88"/>
      <c r="E32" s="88"/>
      <c r="F32" s="88"/>
      <c r="G32" s="88"/>
      <c r="H32" s="88"/>
      <c r="I32" s="88"/>
      <c r="J32" s="88"/>
      <c r="K32" s="88"/>
      <c r="M32" s="88"/>
      <c r="N32" s="88"/>
      <c r="O32" s="88"/>
      <c r="P32" s="88"/>
      <c r="Q32" s="88"/>
      <c r="R32" s="88"/>
      <c r="S32" s="88"/>
      <c r="T32" s="88"/>
      <c r="U32" s="88"/>
      <c r="V32" s="88"/>
      <c r="W32" s="88"/>
      <c r="X32" s="88"/>
      <c r="Y32" s="88"/>
      <c r="Z32" s="88"/>
      <c r="AA32" s="88"/>
      <c r="AB32" s="88"/>
    </row>
    <row r="33" spans="4:28" x14ac:dyDescent="0.25">
      <c r="D33" s="88"/>
      <c r="E33" s="88"/>
      <c r="F33" s="88"/>
      <c r="G33" s="88"/>
      <c r="H33" s="88"/>
      <c r="I33" s="88"/>
      <c r="J33" s="88"/>
      <c r="K33" s="88"/>
      <c r="M33" s="17" t="s">
        <v>335</v>
      </c>
      <c r="N33" s="17"/>
      <c r="O33" s="17" t="s">
        <v>334</v>
      </c>
      <c r="P33" s="17"/>
      <c r="Q33" s="17" t="s">
        <v>333</v>
      </c>
      <c r="R33" s="88"/>
      <c r="S33" s="88"/>
      <c r="T33" s="88"/>
      <c r="U33" s="88"/>
      <c r="V33" s="88"/>
      <c r="W33" s="88"/>
      <c r="X33" s="88"/>
      <c r="Y33" s="88"/>
      <c r="Z33" s="88"/>
      <c r="AA33" s="88"/>
      <c r="AB33" s="88"/>
    </row>
    <row r="34" spans="4:28" x14ac:dyDescent="0.25">
      <c r="D34" s="17" t="s">
        <v>328</v>
      </c>
      <c r="E34" s="88"/>
      <c r="F34" s="88">
        <f>ROWS(D28:D31)</f>
        <v>4</v>
      </c>
      <c r="G34" s="91" t="str">
        <f ca="1">_xlfn.FORMULATEXT(F34)</f>
        <v>=ROWS(D28:D31)</v>
      </c>
      <c r="H34" s="88"/>
      <c r="I34" s="88"/>
      <c r="J34" s="88"/>
      <c r="K34" s="88"/>
      <c r="L34" s="88">
        <v>46</v>
      </c>
      <c r="M34" s="88" t="b">
        <f>ISODD(L34)</f>
        <v>0</v>
      </c>
      <c r="N34" s="88"/>
      <c r="O34" s="88" t="b">
        <f>ISEVEN(L34)</f>
        <v>1</v>
      </c>
      <c r="P34" s="88"/>
      <c r="Q34" s="88"/>
      <c r="R34" s="88"/>
      <c r="S34" s="88"/>
      <c r="T34" s="88"/>
      <c r="U34" s="88"/>
      <c r="V34" s="88"/>
      <c r="W34" s="88"/>
      <c r="X34" s="88"/>
      <c r="Y34" s="88"/>
      <c r="Z34" s="88"/>
      <c r="AA34" s="88"/>
      <c r="AB34" s="88"/>
    </row>
    <row r="35" spans="4:28" x14ac:dyDescent="0.25">
      <c r="D35" s="17" t="s">
        <v>329</v>
      </c>
      <c r="E35" s="88"/>
      <c r="F35" s="88">
        <f>COLUMNS(D28:D31)</f>
        <v>1</v>
      </c>
      <c r="G35" s="91" t="str">
        <f ca="1">_xlfn.FORMULATEXT(F35)</f>
        <v>=COLUMNS(D28:D31)</v>
      </c>
      <c r="H35" s="88"/>
      <c r="I35" s="88"/>
      <c r="J35" s="88"/>
      <c r="K35" s="88"/>
      <c r="L35" s="88">
        <v>23</v>
      </c>
      <c r="M35" s="88" t="b">
        <f>ISODD(L35)</f>
        <v>1</v>
      </c>
      <c r="O35" s="88" t="b">
        <f>ISEVEN(L35)</f>
        <v>0</v>
      </c>
      <c r="R35" s="88"/>
      <c r="S35" s="88"/>
      <c r="T35" s="88"/>
      <c r="U35" s="88"/>
      <c r="V35" s="88"/>
      <c r="W35" s="88"/>
      <c r="X35" s="88"/>
      <c r="Y35" s="88"/>
      <c r="Z35" s="88"/>
      <c r="AA35" s="88"/>
      <c r="AB35" s="88"/>
    </row>
    <row r="36" spans="4:28" x14ac:dyDescent="0.25">
      <c r="D36" s="88"/>
      <c r="E36" s="88"/>
      <c r="F36" s="88"/>
      <c r="G36" s="88"/>
      <c r="H36" s="88"/>
      <c r="I36" s="88"/>
      <c r="J36" s="88"/>
      <c r="K36" s="88"/>
      <c r="L36" s="88">
        <v>78</v>
      </c>
      <c r="M36" s="88" t="b">
        <f>ISODD(L36)</f>
        <v>0</v>
      </c>
      <c r="O36" s="88" t="b">
        <f>ISEVEN(L36)</f>
        <v>1</v>
      </c>
      <c r="R36" s="88"/>
      <c r="S36" s="88"/>
      <c r="T36" s="88"/>
      <c r="U36" s="88"/>
      <c r="V36" s="88"/>
      <c r="W36" s="88"/>
      <c r="X36" s="88"/>
      <c r="Y36" s="88"/>
      <c r="Z36" s="88"/>
      <c r="AA36" s="88"/>
      <c r="AB36" s="88"/>
    </row>
    <row r="37" spans="4:28" x14ac:dyDescent="0.25">
      <c r="D37" s="88"/>
      <c r="E37" s="88"/>
      <c r="F37" s="88"/>
      <c r="G37" s="88"/>
      <c r="H37" s="88"/>
      <c r="I37" s="88"/>
      <c r="J37" s="88"/>
      <c r="K37" s="88"/>
      <c r="Q37" s="88"/>
      <c r="R37" s="88"/>
      <c r="S37" s="88"/>
      <c r="T37" s="88"/>
      <c r="U37" s="88"/>
      <c r="V37" s="88"/>
      <c r="W37" s="88"/>
      <c r="X37" s="88"/>
      <c r="Y37" s="88"/>
      <c r="Z37" s="88"/>
      <c r="AA37" s="88"/>
      <c r="AB37" s="88"/>
    </row>
    <row r="38" spans="4:28" x14ac:dyDescent="0.25">
      <c r="D38" s="88"/>
      <c r="E38" s="88"/>
      <c r="F38" s="88"/>
      <c r="G38" s="88"/>
      <c r="H38" s="88"/>
      <c r="I38" s="88"/>
      <c r="J38" s="88"/>
      <c r="K38" s="88"/>
      <c r="Q38" s="88"/>
      <c r="R38" s="88"/>
      <c r="S38" s="88"/>
      <c r="T38" s="88"/>
      <c r="U38" s="88"/>
      <c r="V38" s="88"/>
      <c r="W38" s="88"/>
      <c r="X38" s="88"/>
      <c r="Y38" s="88"/>
      <c r="Z38" s="88"/>
      <c r="AA38" s="88"/>
      <c r="AB38" s="88"/>
    </row>
    <row r="39" spans="4:28" x14ac:dyDescent="0.25">
      <c r="D39" s="88"/>
      <c r="E39" s="88"/>
      <c r="F39" s="88"/>
      <c r="G39" s="88"/>
      <c r="H39" s="88"/>
      <c r="I39" s="88"/>
      <c r="J39" s="88"/>
      <c r="Q39" s="88"/>
      <c r="R39" s="88"/>
      <c r="S39" s="88"/>
      <c r="T39" s="88"/>
      <c r="U39" s="88"/>
      <c r="V39" s="88"/>
      <c r="W39" s="88"/>
      <c r="X39" s="88"/>
      <c r="Y39" s="88"/>
      <c r="Z39" s="88"/>
      <c r="AA39" s="88"/>
      <c r="AB39" s="88"/>
    </row>
    <row r="40" spans="4:28" x14ac:dyDescent="0.25">
      <c r="D40" s="88"/>
      <c r="E40" s="88"/>
      <c r="F40" s="88"/>
      <c r="G40" s="88"/>
      <c r="H40" s="88"/>
      <c r="I40" s="88"/>
      <c r="J40" s="88"/>
      <c r="Q40" s="88"/>
      <c r="R40" s="88"/>
      <c r="S40" s="88"/>
      <c r="T40" s="88"/>
      <c r="U40" s="88"/>
      <c r="V40" s="88"/>
      <c r="W40" s="88"/>
      <c r="X40" s="88"/>
      <c r="Y40" s="88"/>
      <c r="Z40" s="88"/>
      <c r="AA40" s="88"/>
      <c r="AB40" s="88"/>
    </row>
    <row r="41" spans="4:28" x14ac:dyDescent="0.25">
      <c r="D41" s="88"/>
      <c r="E41" s="88"/>
      <c r="F41" s="88"/>
      <c r="G41" s="88"/>
      <c r="H41" s="88"/>
      <c r="I41" s="88"/>
      <c r="J41" s="88"/>
      <c r="Q41" s="88"/>
      <c r="R41" s="88"/>
      <c r="S41" s="88"/>
      <c r="T41" s="88"/>
      <c r="U41" s="88"/>
      <c r="V41" s="88"/>
      <c r="W41" s="88"/>
      <c r="X41" s="88"/>
      <c r="Y41" s="88"/>
      <c r="Z41" s="88"/>
      <c r="AA41" s="88"/>
      <c r="AB41" s="88"/>
    </row>
    <row r="42" spans="4:28" x14ac:dyDescent="0.25">
      <c r="D42" s="88"/>
      <c r="E42" s="88"/>
      <c r="F42" s="88"/>
      <c r="G42" s="88"/>
      <c r="H42" s="88"/>
      <c r="I42" s="88"/>
      <c r="J42" s="88"/>
      <c r="K42" s="88"/>
      <c r="Q42" s="88"/>
      <c r="R42" s="88"/>
      <c r="S42" s="88"/>
      <c r="T42" s="88"/>
      <c r="U42" s="88"/>
      <c r="V42" s="88"/>
      <c r="W42" s="88"/>
      <c r="X42" s="88"/>
      <c r="Y42" s="88"/>
      <c r="Z42" s="88"/>
      <c r="AA42" s="88"/>
      <c r="AB42" s="88"/>
    </row>
    <row r="43" spans="4:28" x14ac:dyDescent="0.25">
      <c r="D43" s="88"/>
      <c r="E43" s="88"/>
      <c r="F43" s="88"/>
      <c r="G43" s="88"/>
      <c r="H43" s="88"/>
      <c r="I43" s="88"/>
      <c r="J43" s="88"/>
      <c r="Q43" s="88"/>
      <c r="R43" s="88"/>
      <c r="S43" s="88"/>
      <c r="T43" s="88"/>
      <c r="U43" s="88"/>
      <c r="V43" s="88"/>
      <c r="W43" s="88"/>
      <c r="X43" s="88"/>
      <c r="Y43" s="88"/>
      <c r="Z43" s="88"/>
      <c r="AA43" s="88"/>
      <c r="AB43" s="88"/>
    </row>
  </sheetData>
  <phoneticPr fontId="2"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D26A2-3D60-4335-8394-FBFE5A52C266}">
  <sheetPr codeName="Sheet31"/>
  <dimension ref="A8:H31"/>
  <sheetViews>
    <sheetView topLeftCell="A2" workbookViewId="0">
      <selection activeCell="I25" sqref="I25"/>
    </sheetView>
  </sheetViews>
  <sheetFormatPr defaultRowHeight="15" x14ac:dyDescent="0.25"/>
  <cols>
    <col min="2" max="2" width="11.7109375" bestFit="1" customWidth="1"/>
    <col min="3" max="3" width="13.5703125" customWidth="1"/>
    <col min="4" max="4" width="15.5703125" customWidth="1"/>
    <col min="6" max="6" width="17.85546875" bestFit="1" customWidth="1"/>
    <col min="7" max="7" width="18" bestFit="1" customWidth="1"/>
    <col min="8" max="8" width="19.42578125" bestFit="1" customWidth="1"/>
  </cols>
  <sheetData>
    <row r="8" spans="2:8" ht="30" x14ac:dyDescent="0.25">
      <c r="C8" s="94" t="s">
        <v>349</v>
      </c>
      <c r="F8" s="89" t="s">
        <v>204</v>
      </c>
      <c r="G8" s="89" t="s">
        <v>205</v>
      </c>
      <c r="H8" s="89" t="s">
        <v>25</v>
      </c>
    </row>
    <row r="9" spans="2:8" x14ac:dyDescent="0.25">
      <c r="F9" s="42">
        <f>LARGE(B10:D15,1)</f>
        <v>487</v>
      </c>
      <c r="G9" s="42">
        <f>SMALL(B10:D15,2)</f>
        <v>21</v>
      </c>
      <c r="H9" s="42">
        <f>RANK(C13,B10:D15)</f>
        <v>18</v>
      </c>
    </row>
    <row r="10" spans="2:8" x14ac:dyDescent="0.25">
      <c r="B10" s="98">
        <v>356</v>
      </c>
      <c r="C10" s="98">
        <v>249</v>
      </c>
      <c r="D10" s="98">
        <v>124</v>
      </c>
      <c r="F10" s="42">
        <f>LARGE(B10:D15,3)</f>
        <v>412</v>
      </c>
      <c r="G10" s="42">
        <f>SMALL(B10:D15,6)</f>
        <v>90</v>
      </c>
      <c r="H10" s="42">
        <f>RANK(B11,B10:D15)</f>
        <v>14</v>
      </c>
    </row>
    <row r="11" spans="2:8" x14ac:dyDescent="0.25">
      <c r="B11" s="98">
        <v>68</v>
      </c>
      <c r="C11" s="98">
        <v>408</v>
      </c>
      <c r="D11" s="98">
        <v>487</v>
      </c>
    </row>
    <row r="12" spans="2:8" x14ac:dyDescent="0.25">
      <c r="B12" s="98">
        <v>21</v>
      </c>
      <c r="C12" s="98">
        <v>27</v>
      </c>
      <c r="D12" s="98">
        <v>90</v>
      </c>
      <c r="F12" s="99" t="str">
        <f ca="1">_xlfn.FORMULATEXT(F9)</f>
        <v>=LARGE(B10:D15,1)</v>
      </c>
      <c r="G12" s="99" t="str">
        <f t="shared" ref="G12:H12" ca="1" si="0">_xlfn.FORMULATEXT(G9)</f>
        <v>=SMALL(B10:D15,2)</v>
      </c>
      <c r="H12" s="99" t="str">
        <f t="shared" ca="1" si="0"/>
        <v>=RANK(C13,B10:D15)</v>
      </c>
    </row>
    <row r="13" spans="2:8" x14ac:dyDescent="0.25">
      <c r="B13" s="98">
        <v>315</v>
      </c>
      <c r="C13" s="98">
        <v>8</v>
      </c>
      <c r="D13" s="98">
        <v>342</v>
      </c>
    </row>
    <row r="14" spans="2:8" x14ac:dyDescent="0.25">
      <c r="B14" s="98">
        <v>412</v>
      </c>
      <c r="C14" s="98">
        <v>251</v>
      </c>
      <c r="D14" s="98">
        <v>49</v>
      </c>
    </row>
    <row r="15" spans="2:8" x14ac:dyDescent="0.25">
      <c r="B15" s="98">
        <v>276</v>
      </c>
      <c r="C15" s="98">
        <v>428</v>
      </c>
      <c r="D15" s="98">
        <v>315</v>
      </c>
    </row>
    <row r="19" spans="1:8" ht="60" x14ac:dyDescent="0.25">
      <c r="C19" s="94" t="s">
        <v>350</v>
      </c>
    </row>
    <row r="20" spans="1:8" ht="29.25" customHeight="1" x14ac:dyDescent="0.25">
      <c r="B20" s="102" t="s">
        <v>356</v>
      </c>
      <c r="D20" s="100" t="s">
        <v>351</v>
      </c>
      <c r="E20" s="100" t="s">
        <v>352</v>
      </c>
      <c r="F20" s="100" t="s">
        <v>353</v>
      </c>
      <c r="G20" s="100" t="s">
        <v>354</v>
      </c>
      <c r="H20" s="100" t="s">
        <v>355</v>
      </c>
    </row>
    <row r="21" spans="1:8" x14ac:dyDescent="0.25">
      <c r="A21" s="101"/>
      <c r="B21" s="17">
        <v>1</v>
      </c>
      <c r="D21" s="16">
        <v>274.52600000000001</v>
      </c>
      <c r="E21" s="16">
        <f>INT(D21)</f>
        <v>274</v>
      </c>
      <c r="F21" s="16">
        <f>ROUND(D21,2)</f>
        <v>274.52999999999997</v>
      </c>
      <c r="G21" s="16">
        <f>ROUNDUP(D21,1)</f>
        <v>274.60000000000002</v>
      </c>
      <c r="H21" s="16">
        <f>ROUNDDOWN(D21,3)</f>
        <v>274.52600000000001</v>
      </c>
    </row>
    <row r="22" spans="1:8" x14ac:dyDescent="0.25">
      <c r="A22" s="101"/>
      <c r="B22" s="17">
        <v>2</v>
      </c>
      <c r="D22" s="16">
        <v>536.26700000000005</v>
      </c>
      <c r="E22" s="16">
        <f t="shared" ref="E22:E27" si="1">INT(D22)</f>
        <v>536</v>
      </c>
      <c r="F22" s="16">
        <f t="shared" ref="F22:F27" si="2">ROUND(D22,2)</f>
        <v>536.27</v>
      </c>
      <c r="G22" s="16">
        <f t="shared" ref="G22:G27" si="3">ROUNDUP(D22,1)</f>
        <v>536.30000000000007</v>
      </c>
      <c r="H22" s="16">
        <f t="shared" ref="H22:H27" si="4">ROUNDDOWN(D22,3)</f>
        <v>536.26700000000005</v>
      </c>
    </row>
    <row r="23" spans="1:8" x14ac:dyDescent="0.25">
      <c r="A23" s="101"/>
      <c r="B23" s="17">
        <v>3</v>
      </c>
      <c r="D23" s="16">
        <v>798.00800000000004</v>
      </c>
      <c r="E23" s="16">
        <f t="shared" si="1"/>
        <v>798</v>
      </c>
      <c r="F23" s="16">
        <f t="shared" si="2"/>
        <v>798.01</v>
      </c>
      <c r="G23" s="16">
        <f t="shared" si="3"/>
        <v>798.1</v>
      </c>
      <c r="H23" s="16">
        <f t="shared" si="4"/>
        <v>798.00800000000004</v>
      </c>
    </row>
    <row r="24" spans="1:8" x14ac:dyDescent="0.25">
      <c r="A24" s="101"/>
      <c r="B24" s="17">
        <v>4</v>
      </c>
      <c r="D24" s="16">
        <v>559.74900000000002</v>
      </c>
      <c r="E24" s="16">
        <f t="shared" si="1"/>
        <v>559</v>
      </c>
      <c r="F24" s="16">
        <f t="shared" si="2"/>
        <v>559.75</v>
      </c>
      <c r="G24" s="16">
        <f t="shared" si="3"/>
        <v>559.80000000000007</v>
      </c>
      <c r="H24" s="16">
        <f t="shared" si="4"/>
        <v>559.74900000000002</v>
      </c>
    </row>
    <row r="25" spans="1:8" x14ac:dyDescent="0.25">
      <c r="B25" s="95"/>
      <c r="D25" s="16">
        <v>321.74900000000002</v>
      </c>
      <c r="E25" s="16">
        <f t="shared" si="1"/>
        <v>321</v>
      </c>
      <c r="F25" s="16">
        <f t="shared" si="2"/>
        <v>321.75</v>
      </c>
      <c r="G25" s="16">
        <f t="shared" si="3"/>
        <v>321.8</v>
      </c>
      <c r="H25" s="16">
        <f t="shared" si="4"/>
        <v>321.74900000000002</v>
      </c>
    </row>
    <row r="26" spans="1:8" x14ac:dyDescent="0.25">
      <c r="B26" s="17">
        <v>5</v>
      </c>
      <c r="D26" s="16">
        <v>583.23099999999999</v>
      </c>
      <c r="E26" s="16">
        <f t="shared" si="1"/>
        <v>583</v>
      </c>
      <c r="F26" s="16">
        <f t="shared" si="2"/>
        <v>583.23</v>
      </c>
      <c r="G26" s="16">
        <f t="shared" si="3"/>
        <v>583.30000000000007</v>
      </c>
      <c r="H26" s="16">
        <f t="shared" si="4"/>
        <v>583.23099999999999</v>
      </c>
    </row>
    <row r="27" spans="1:8" x14ac:dyDescent="0.25">
      <c r="B27" s="17">
        <v>6</v>
      </c>
      <c r="D27" s="16">
        <v>844.37199999999996</v>
      </c>
      <c r="E27" s="16">
        <f t="shared" si="1"/>
        <v>844</v>
      </c>
      <c r="F27" s="16">
        <f t="shared" si="2"/>
        <v>844.37</v>
      </c>
      <c r="G27" s="16">
        <f t="shared" si="3"/>
        <v>844.4</v>
      </c>
      <c r="H27" s="16">
        <f t="shared" si="4"/>
        <v>844.37199999999996</v>
      </c>
    </row>
    <row r="28" spans="1:8" x14ac:dyDescent="0.25">
      <c r="B28" s="17">
        <v>7</v>
      </c>
    </row>
    <row r="29" spans="1:8" x14ac:dyDescent="0.25">
      <c r="B29" s="17">
        <v>8</v>
      </c>
    </row>
    <row r="30" spans="1:8" x14ac:dyDescent="0.25">
      <c r="B30" s="17">
        <v>9</v>
      </c>
    </row>
    <row r="31" spans="1:8" x14ac:dyDescent="0.25">
      <c r="B31" s="97" t="s">
        <v>357</v>
      </c>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D905A-7EFC-4218-90DE-696D94729BB6}">
  <sheetPr codeName="Sheet32"/>
  <dimension ref="B6:E33"/>
  <sheetViews>
    <sheetView workbookViewId="0">
      <selection activeCell="D34" sqref="D34"/>
    </sheetView>
  </sheetViews>
  <sheetFormatPr defaultRowHeight="15" x14ac:dyDescent="0.25"/>
  <cols>
    <col min="2" max="2" width="22.28515625" bestFit="1" customWidth="1"/>
    <col min="3" max="3" width="27.42578125" customWidth="1"/>
    <col min="4" max="4" width="22.5703125" bestFit="1" customWidth="1"/>
    <col min="5" max="5" width="14.7109375" customWidth="1"/>
  </cols>
  <sheetData>
    <row r="6" spans="2:5" x14ac:dyDescent="0.25">
      <c r="B6" s="245" t="s">
        <v>368</v>
      </c>
      <c r="C6" s="246"/>
    </row>
    <row r="7" spans="2:5" x14ac:dyDescent="0.25">
      <c r="B7" s="247"/>
      <c r="C7" s="247"/>
    </row>
    <row r="8" spans="2:5" ht="21" customHeight="1" x14ac:dyDescent="0.25">
      <c r="B8" s="103" t="s">
        <v>358</v>
      </c>
      <c r="C8" s="103" t="s">
        <v>362</v>
      </c>
    </row>
    <row r="9" spans="2:5" ht="21" customHeight="1" x14ac:dyDescent="0.25">
      <c r="B9" s="103" t="s">
        <v>359</v>
      </c>
      <c r="C9" s="103" t="s">
        <v>363</v>
      </c>
    </row>
    <row r="10" spans="2:5" ht="22.5" customHeight="1" x14ac:dyDescent="0.25">
      <c r="B10" s="103" t="s">
        <v>364</v>
      </c>
      <c r="C10" s="103" t="s">
        <v>365</v>
      </c>
    </row>
    <row r="11" spans="2:5" ht="18" customHeight="1" x14ac:dyDescent="0.25">
      <c r="B11" s="103" t="s">
        <v>360</v>
      </c>
      <c r="C11" s="103" t="s">
        <v>366</v>
      </c>
    </row>
    <row r="12" spans="2:5" ht="21" customHeight="1" x14ac:dyDescent="0.25">
      <c r="B12" s="103" t="s">
        <v>361</v>
      </c>
      <c r="C12" s="103" t="s">
        <v>367</v>
      </c>
    </row>
    <row r="14" spans="2:5" x14ac:dyDescent="0.25">
      <c r="B14" s="96"/>
      <c r="C14" s="96"/>
    </row>
    <row r="15" spans="2:5" ht="18" customHeight="1" x14ac:dyDescent="0.25">
      <c r="B15" s="104" t="s">
        <v>369</v>
      </c>
      <c r="C15" s="104">
        <v>5500</v>
      </c>
      <c r="D15" s="40">
        <f>C15*C16*12</f>
        <v>330000</v>
      </c>
      <c r="E15" s="40"/>
    </row>
    <row r="16" spans="2:5" ht="18.75" customHeight="1" x14ac:dyDescent="0.25">
      <c r="B16" s="104" t="s">
        <v>370</v>
      </c>
      <c r="C16" s="104">
        <v>5</v>
      </c>
      <c r="D16" s="229">
        <f>D25-D15</f>
        <v>95903.896953865944</v>
      </c>
      <c r="E16" s="40"/>
    </row>
    <row r="17" spans="2:4" ht="18.75" customHeight="1" x14ac:dyDescent="0.25">
      <c r="B17" s="104" t="s">
        <v>371</v>
      </c>
      <c r="C17" s="107">
        <v>0.1</v>
      </c>
    </row>
    <row r="18" spans="2:4" x14ac:dyDescent="0.25">
      <c r="B18" s="96"/>
      <c r="C18" s="96"/>
    </row>
    <row r="19" spans="2:4" x14ac:dyDescent="0.25">
      <c r="B19" s="96"/>
      <c r="C19" s="96"/>
    </row>
    <row r="20" spans="2:4" x14ac:dyDescent="0.25">
      <c r="B20" s="96"/>
      <c r="C20" s="96"/>
    </row>
    <row r="21" spans="2:4" x14ac:dyDescent="0.25">
      <c r="B21" s="96"/>
      <c r="C21" s="96"/>
    </row>
    <row r="22" spans="2:4" x14ac:dyDescent="0.25">
      <c r="B22" s="105" t="s">
        <v>372</v>
      </c>
      <c r="C22" s="96"/>
    </row>
    <row r="23" spans="2:4" x14ac:dyDescent="0.25">
      <c r="B23" s="96"/>
      <c r="C23" s="96"/>
    </row>
    <row r="24" spans="2:4" x14ac:dyDescent="0.25">
      <c r="B24" s="104" t="s">
        <v>373</v>
      </c>
      <c r="C24" s="106">
        <f>FV(C17/12,C16*12,C15)</f>
        <v>-425903.89695386594</v>
      </c>
      <c r="D24" s="228">
        <f>FV(C17/12,C16*12,C15)</f>
        <v>-425903.89695386594</v>
      </c>
    </row>
    <row r="25" spans="2:4" x14ac:dyDescent="0.25">
      <c r="B25" s="104"/>
      <c r="C25" s="118">
        <f>ABS(C24)</f>
        <v>425903.89695386594</v>
      </c>
      <c r="D25" s="229">
        <f>ABS(D24)</f>
        <v>425903.89695386594</v>
      </c>
    </row>
    <row r="26" spans="2:4" x14ac:dyDescent="0.25">
      <c r="B26" s="104"/>
      <c r="C26" s="104"/>
      <c r="D26" s="110"/>
    </row>
    <row r="27" spans="2:4" x14ac:dyDescent="0.25">
      <c r="B27" s="104" t="s">
        <v>374</v>
      </c>
      <c r="C27" s="106">
        <f>FV(C17/12,C16*12,0,C24)</f>
        <v>700743.48701521335</v>
      </c>
      <c r="D27" s="119">
        <f>C28-D25</f>
        <v>274839.59006134741</v>
      </c>
    </row>
    <row r="28" spans="2:4" x14ac:dyDescent="0.25">
      <c r="B28" s="110"/>
      <c r="C28" s="118">
        <f>ABS(C27)</f>
        <v>700743.48701521335</v>
      </c>
      <c r="D28" s="110"/>
    </row>
    <row r="29" spans="2:4" x14ac:dyDescent="0.25">
      <c r="B29" s="110"/>
      <c r="C29" s="110"/>
      <c r="D29" s="110"/>
    </row>
    <row r="30" spans="2:4" x14ac:dyDescent="0.25">
      <c r="B30" s="110"/>
      <c r="C30" s="110"/>
      <c r="D30" s="110"/>
    </row>
    <row r="33" spans="2:4" x14ac:dyDescent="0.25">
      <c r="B33" s="104" t="s">
        <v>375</v>
      </c>
      <c r="C33" s="230">
        <f>C25-D15</f>
        <v>95903.896953865944</v>
      </c>
      <c r="D33" s="231">
        <f>C28-D25</f>
        <v>274839.59006134741</v>
      </c>
    </row>
  </sheetData>
  <mergeCells count="1">
    <mergeCell ref="B6:C7"/>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B8721-8EF3-4E5C-9959-1BAC70F0BBAC}">
  <sheetPr codeName="Sheet33"/>
  <dimension ref="C8:H29"/>
  <sheetViews>
    <sheetView workbookViewId="0">
      <selection activeCell="H25" sqref="H25"/>
    </sheetView>
  </sheetViews>
  <sheetFormatPr defaultRowHeight="15" x14ac:dyDescent="0.25"/>
  <cols>
    <col min="4" max="4" width="23.7109375" customWidth="1"/>
    <col min="5" max="5" width="32.42578125" customWidth="1"/>
    <col min="7" max="7" width="12" bestFit="1" customWidth="1"/>
    <col min="8" max="8" width="15.140625" customWidth="1"/>
  </cols>
  <sheetData>
    <row r="8" spans="4:8" x14ac:dyDescent="0.25">
      <c r="D8" s="108"/>
    </row>
    <row r="9" spans="4:8" x14ac:dyDescent="0.25">
      <c r="D9" s="108"/>
    </row>
    <row r="10" spans="4:8" x14ac:dyDescent="0.25">
      <c r="D10" s="112"/>
    </row>
    <row r="12" spans="4:8" x14ac:dyDescent="0.25">
      <c r="D12" s="103" t="s">
        <v>376</v>
      </c>
      <c r="E12" s="53">
        <v>600000</v>
      </c>
      <c r="H12" s="85">
        <f>E20*E14*12</f>
        <v>800800.11665646394</v>
      </c>
    </row>
    <row r="13" spans="4:8" x14ac:dyDescent="0.25">
      <c r="D13" s="123" t="s">
        <v>377</v>
      </c>
      <c r="E13" s="114">
        <v>0.12</v>
      </c>
      <c r="H13" s="85"/>
    </row>
    <row r="14" spans="4:8" x14ac:dyDescent="0.25">
      <c r="D14" s="124" t="s">
        <v>378</v>
      </c>
      <c r="E14" s="53">
        <v>5</v>
      </c>
      <c r="H14" s="239"/>
    </row>
    <row r="15" spans="4:8" x14ac:dyDescent="0.25">
      <c r="D15" s="109"/>
      <c r="G15" s="113"/>
      <c r="H15" s="85">
        <f>H12-E12</f>
        <v>200800.11665646394</v>
      </c>
    </row>
    <row r="16" spans="4:8" x14ac:dyDescent="0.25">
      <c r="D16" s="109"/>
      <c r="H16" s="239"/>
    </row>
    <row r="17" spans="3:8" x14ac:dyDescent="0.25">
      <c r="D17" s="109"/>
      <c r="H17" s="239"/>
    </row>
    <row r="18" spans="3:8" x14ac:dyDescent="0.25">
      <c r="C18" s="11"/>
      <c r="D18" s="109"/>
      <c r="E18" s="111"/>
      <c r="H18" s="113"/>
    </row>
    <row r="19" spans="3:8" x14ac:dyDescent="0.25">
      <c r="D19" s="116" t="s">
        <v>379</v>
      </c>
      <c r="E19" s="117">
        <f>PMT(E13/12,E14*12,E12)</f>
        <v>-13346.668610941066</v>
      </c>
    </row>
    <row r="20" spans="3:8" x14ac:dyDescent="0.25">
      <c r="D20" s="116"/>
      <c r="E20" s="115">
        <f>ABS(E19)</f>
        <v>13346.668610941066</v>
      </c>
    </row>
    <row r="21" spans="3:8" x14ac:dyDescent="0.25">
      <c r="D21" s="116"/>
      <c r="E21" s="53"/>
    </row>
    <row r="22" spans="3:8" x14ac:dyDescent="0.25">
      <c r="D22" s="116"/>
      <c r="E22" s="53"/>
    </row>
    <row r="23" spans="3:8" x14ac:dyDescent="0.25">
      <c r="D23" s="116"/>
      <c r="E23" s="53"/>
    </row>
    <row r="24" spans="3:8" x14ac:dyDescent="0.25">
      <c r="D24" s="109"/>
    </row>
    <row r="25" spans="3:8" x14ac:dyDescent="0.25">
      <c r="D25" s="109"/>
    </row>
    <row r="26" spans="3:8" x14ac:dyDescent="0.25">
      <c r="D26" s="109"/>
    </row>
    <row r="27" spans="3:8" x14ac:dyDescent="0.25">
      <c r="D27" s="116" t="s">
        <v>364</v>
      </c>
      <c r="E27" s="53"/>
    </row>
    <row r="28" spans="3:8" x14ac:dyDescent="0.25">
      <c r="D28" s="116" t="s">
        <v>360</v>
      </c>
      <c r="E28" s="53"/>
    </row>
    <row r="29" spans="3:8" x14ac:dyDescent="0.25">
      <c r="D29" s="116" t="s">
        <v>361</v>
      </c>
      <c r="E29" s="53"/>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3B3A4-646F-44FC-8F99-826E9DF0E9E0}">
  <sheetPr codeName="Sheet34"/>
  <dimension ref="A1:F35"/>
  <sheetViews>
    <sheetView workbookViewId="0">
      <selection activeCell="F3" sqref="F3"/>
    </sheetView>
  </sheetViews>
  <sheetFormatPr defaultRowHeight="15" x14ac:dyDescent="0.25"/>
  <cols>
    <col min="1" max="1" width="14.7109375" customWidth="1"/>
    <col min="2" max="2" width="13.28515625" customWidth="1"/>
    <col min="3" max="3" width="13.7109375" customWidth="1"/>
    <col min="4" max="4" width="19.7109375" customWidth="1"/>
    <col min="5" max="5" width="15" customWidth="1"/>
    <col min="6" max="6" width="10.85546875" customWidth="1"/>
  </cols>
  <sheetData>
    <row r="1" spans="1:6" ht="31.5" customHeight="1" x14ac:dyDescent="0.25">
      <c r="A1" s="125" t="s">
        <v>380</v>
      </c>
      <c r="B1" s="125" t="s">
        <v>17</v>
      </c>
      <c r="C1" s="125" t="s">
        <v>381</v>
      </c>
      <c r="D1" s="125" t="s">
        <v>382</v>
      </c>
      <c r="E1" s="125" t="s">
        <v>24</v>
      </c>
      <c r="F1" s="125" t="s">
        <v>27</v>
      </c>
    </row>
    <row r="2" spans="1:6" s="120" customFormat="1" x14ac:dyDescent="0.25">
      <c r="A2" s="120">
        <v>1311</v>
      </c>
      <c r="B2" s="120" t="s">
        <v>28</v>
      </c>
      <c r="C2" s="120">
        <v>600</v>
      </c>
      <c r="D2" s="120">
        <v>450</v>
      </c>
      <c r="E2" s="126">
        <f>D2/600*100</f>
        <v>75</v>
      </c>
      <c r="F2" s="120" t="str">
        <f>IF(E2&gt;=75,"A",IF(E2&gt;=60,"B",IF(E2&gt;=50,"C","FAIL")))</f>
        <v>A</v>
      </c>
    </row>
    <row r="3" spans="1:6" s="120" customFormat="1" x14ac:dyDescent="0.25">
      <c r="A3" s="120">
        <v>1533</v>
      </c>
      <c r="B3" s="120" t="s">
        <v>29</v>
      </c>
      <c r="C3" s="120">
        <v>600</v>
      </c>
      <c r="D3" s="120">
        <v>134</v>
      </c>
      <c r="E3" s="126">
        <f t="shared" ref="E3:E35" si="0">D3/600*100</f>
        <v>22.333333333333332</v>
      </c>
      <c r="F3" s="120" t="str">
        <f t="shared" ref="F3:F35" si="1">IF(E3&gt;=75,"A",IF(E3&gt;=60,"B",IF(E3&gt;=50,"C","FAIL")))</f>
        <v>FAIL</v>
      </c>
    </row>
    <row r="4" spans="1:6" s="120" customFormat="1" x14ac:dyDescent="0.25">
      <c r="A4" s="120">
        <v>1755</v>
      </c>
      <c r="B4" s="120" t="s">
        <v>32</v>
      </c>
      <c r="C4" s="120">
        <v>600</v>
      </c>
      <c r="D4" s="120">
        <v>298</v>
      </c>
      <c r="E4" s="126">
        <f t="shared" si="0"/>
        <v>49.666666666666664</v>
      </c>
      <c r="F4" s="120" t="str">
        <f t="shared" si="1"/>
        <v>FAIL</v>
      </c>
    </row>
    <row r="5" spans="1:6" s="120" customFormat="1" x14ac:dyDescent="0.25">
      <c r="A5" s="120">
        <v>1977</v>
      </c>
      <c r="B5" s="120" t="s">
        <v>42</v>
      </c>
      <c r="C5" s="120">
        <v>600</v>
      </c>
      <c r="D5" s="120">
        <v>270</v>
      </c>
      <c r="E5" s="126">
        <f t="shared" si="0"/>
        <v>45</v>
      </c>
      <c r="F5" s="120" t="str">
        <f t="shared" si="1"/>
        <v>FAIL</v>
      </c>
    </row>
    <row r="6" spans="1:6" s="120" customFormat="1" x14ac:dyDescent="0.25">
      <c r="A6" s="120">
        <v>2199</v>
      </c>
      <c r="B6" s="120" t="s">
        <v>31</v>
      </c>
      <c r="C6" s="120">
        <v>600</v>
      </c>
      <c r="D6" s="120">
        <v>552</v>
      </c>
      <c r="E6" s="126">
        <f t="shared" si="0"/>
        <v>92</v>
      </c>
      <c r="F6" s="120" t="str">
        <f t="shared" si="1"/>
        <v>A</v>
      </c>
    </row>
    <row r="7" spans="1:6" s="120" customFormat="1" x14ac:dyDescent="0.25">
      <c r="A7" s="120">
        <v>2421</v>
      </c>
      <c r="B7" s="120" t="s">
        <v>29</v>
      </c>
      <c r="C7" s="120">
        <v>600</v>
      </c>
      <c r="D7" s="120">
        <v>584</v>
      </c>
      <c r="E7" s="126">
        <f t="shared" si="0"/>
        <v>97.333333333333343</v>
      </c>
      <c r="F7" s="120" t="str">
        <f t="shared" si="1"/>
        <v>A</v>
      </c>
    </row>
    <row r="8" spans="1:6" s="120" customFormat="1" x14ac:dyDescent="0.25">
      <c r="A8" s="120">
        <v>2643</v>
      </c>
      <c r="B8" s="120" t="s">
        <v>43</v>
      </c>
      <c r="C8" s="120">
        <v>600</v>
      </c>
      <c r="D8" s="120">
        <v>462</v>
      </c>
      <c r="E8" s="126">
        <f t="shared" si="0"/>
        <v>77</v>
      </c>
      <c r="F8" s="120" t="str">
        <f t="shared" si="1"/>
        <v>A</v>
      </c>
    </row>
    <row r="9" spans="1:6" s="120" customFormat="1" x14ac:dyDescent="0.25">
      <c r="A9" s="120">
        <v>2865</v>
      </c>
      <c r="B9" s="120" t="s">
        <v>30</v>
      </c>
      <c r="C9" s="120">
        <v>600</v>
      </c>
      <c r="D9" s="120">
        <v>504</v>
      </c>
      <c r="E9" s="126">
        <f t="shared" si="0"/>
        <v>84</v>
      </c>
      <c r="F9" s="120" t="str">
        <f t="shared" si="1"/>
        <v>A</v>
      </c>
    </row>
    <row r="10" spans="1:6" s="120" customFormat="1" x14ac:dyDescent="0.25">
      <c r="A10" s="120">
        <v>3087</v>
      </c>
      <c r="B10" s="120" t="s">
        <v>28</v>
      </c>
      <c r="C10" s="120">
        <v>600</v>
      </c>
      <c r="D10" s="120">
        <v>423</v>
      </c>
      <c r="E10" s="126">
        <f t="shared" si="0"/>
        <v>70.5</v>
      </c>
      <c r="F10" s="120" t="str">
        <f t="shared" si="1"/>
        <v>B</v>
      </c>
    </row>
    <row r="11" spans="1:6" s="120" customFormat="1" x14ac:dyDescent="0.25">
      <c r="A11" s="120">
        <v>3309</v>
      </c>
      <c r="B11" s="120" t="s">
        <v>29</v>
      </c>
      <c r="C11" s="120">
        <v>600</v>
      </c>
      <c r="D11" s="120">
        <v>124</v>
      </c>
      <c r="E11" s="126">
        <f t="shared" si="0"/>
        <v>20.666666666666668</v>
      </c>
      <c r="F11" s="120" t="str">
        <f t="shared" si="1"/>
        <v>FAIL</v>
      </c>
    </row>
    <row r="12" spans="1:6" s="120" customFormat="1" x14ac:dyDescent="0.25">
      <c r="A12" s="120">
        <v>3531</v>
      </c>
      <c r="B12" s="120" t="s">
        <v>32</v>
      </c>
      <c r="C12" s="120">
        <v>600</v>
      </c>
      <c r="D12" s="120">
        <v>208</v>
      </c>
      <c r="E12" s="126">
        <f t="shared" si="0"/>
        <v>34.666666666666671</v>
      </c>
      <c r="F12" s="120" t="str">
        <f t="shared" si="1"/>
        <v>FAIL</v>
      </c>
    </row>
    <row r="13" spans="1:6" s="120" customFormat="1" x14ac:dyDescent="0.25">
      <c r="A13" s="120">
        <v>3753</v>
      </c>
      <c r="B13" s="120" t="s">
        <v>41</v>
      </c>
      <c r="C13" s="120">
        <v>600</v>
      </c>
      <c r="D13" s="120">
        <v>250</v>
      </c>
      <c r="E13" s="126">
        <f t="shared" si="0"/>
        <v>41.666666666666671</v>
      </c>
      <c r="F13" s="120" t="str">
        <f t="shared" si="1"/>
        <v>FAIL</v>
      </c>
    </row>
    <row r="14" spans="1:6" s="120" customFormat="1" x14ac:dyDescent="0.25">
      <c r="A14" s="120">
        <v>3975</v>
      </c>
      <c r="B14" s="120" t="s">
        <v>42</v>
      </c>
      <c r="C14" s="120">
        <v>600</v>
      </c>
      <c r="D14" s="120">
        <v>598</v>
      </c>
      <c r="E14" s="126">
        <f t="shared" si="0"/>
        <v>99.666666666666671</v>
      </c>
      <c r="F14" s="120" t="str">
        <f t="shared" si="1"/>
        <v>A</v>
      </c>
    </row>
    <row r="15" spans="1:6" s="120" customFormat="1" x14ac:dyDescent="0.25">
      <c r="A15" s="120">
        <v>4197</v>
      </c>
      <c r="B15" s="120" t="s">
        <v>36</v>
      </c>
      <c r="C15" s="120">
        <v>600</v>
      </c>
      <c r="D15" s="120">
        <v>152</v>
      </c>
      <c r="E15" s="126">
        <f t="shared" si="0"/>
        <v>25.333333333333336</v>
      </c>
      <c r="F15" s="120" t="str">
        <f t="shared" si="1"/>
        <v>FAIL</v>
      </c>
    </row>
    <row r="16" spans="1:6" s="120" customFormat="1" x14ac:dyDescent="0.25">
      <c r="A16" s="120">
        <v>4419</v>
      </c>
      <c r="B16" s="120" t="s">
        <v>31</v>
      </c>
      <c r="C16" s="120">
        <v>600</v>
      </c>
      <c r="D16" s="120">
        <v>187</v>
      </c>
      <c r="E16" s="126">
        <f t="shared" si="0"/>
        <v>31.166666666666664</v>
      </c>
      <c r="F16" s="120" t="str">
        <f t="shared" si="1"/>
        <v>FAIL</v>
      </c>
    </row>
    <row r="17" spans="1:6" s="120" customFormat="1" x14ac:dyDescent="0.25">
      <c r="A17" s="120">
        <v>4641</v>
      </c>
      <c r="B17" s="120" t="s">
        <v>30</v>
      </c>
      <c r="C17" s="120">
        <v>600</v>
      </c>
      <c r="D17" s="120">
        <v>523</v>
      </c>
      <c r="E17" s="126">
        <f t="shared" si="0"/>
        <v>87.166666666666671</v>
      </c>
      <c r="F17" s="120" t="str">
        <f t="shared" si="1"/>
        <v>A</v>
      </c>
    </row>
    <row r="18" spans="1:6" s="120" customFormat="1" x14ac:dyDescent="0.25">
      <c r="A18" s="120">
        <v>4863</v>
      </c>
      <c r="B18" s="120" t="s">
        <v>40</v>
      </c>
      <c r="C18" s="120">
        <v>600</v>
      </c>
      <c r="D18" s="120">
        <v>263</v>
      </c>
      <c r="E18" s="126">
        <f t="shared" si="0"/>
        <v>43.833333333333336</v>
      </c>
      <c r="F18" s="120" t="str">
        <f t="shared" si="1"/>
        <v>FAIL</v>
      </c>
    </row>
    <row r="19" spans="1:6" s="120" customFormat="1" x14ac:dyDescent="0.25">
      <c r="A19" s="120">
        <v>5085</v>
      </c>
      <c r="B19" s="120" t="s">
        <v>43</v>
      </c>
      <c r="C19" s="120">
        <v>600</v>
      </c>
      <c r="D19" s="120">
        <v>321</v>
      </c>
      <c r="E19" s="126">
        <f t="shared" si="0"/>
        <v>53.5</v>
      </c>
      <c r="F19" s="120" t="str">
        <f t="shared" si="1"/>
        <v>C</v>
      </c>
    </row>
    <row r="20" spans="1:6" s="120" customFormat="1" x14ac:dyDescent="0.25">
      <c r="A20" s="120">
        <v>5307</v>
      </c>
      <c r="B20" s="120" t="s">
        <v>33</v>
      </c>
      <c r="C20" s="120">
        <v>600</v>
      </c>
      <c r="D20" s="120">
        <v>176</v>
      </c>
      <c r="E20" s="126">
        <f t="shared" si="0"/>
        <v>29.333333333333332</v>
      </c>
      <c r="F20" s="120" t="str">
        <f t="shared" si="1"/>
        <v>FAIL</v>
      </c>
    </row>
    <row r="21" spans="1:6" s="120" customFormat="1" x14ac:dyDescent="0.25">
      <c r="A21" s="120">
        <v>5529</v>
      </c>
      <c r="B21" s="120" t="s">
        <v>37</v>
      </c>
      <c r="C21" s="120">
        <v>600</v>
      </c>
      <c r="D21" s="120">
        <v>258</v>
      </c>
      <c r="E21" s="126">
        <f t="shared" si="0"/>
        <v>43</v>
      </c>
      <c r="F21" s="120" t="str">
        <f t="shared" si="1"/>
        <v>FAIL</v>
      </c>
    </row>
    <row r="22" spans="1:6" s="120" customFormat="1" x14ac:dyDescent="0.25">
      <c r="A22" s="120">
        <v>5751</v>
      </c>
      <c r="B22" s="120" t="s">
        <v>44</v>
      </c>
      <c r="C22" s="120">
        <v>600</v>
      </c>
      <c r="D22" s="120">
        <v>280</v>
      </c>
      <c r="E22" s="126">
        <f t="shared" si="0"/>
        <v>46.666666666666664</v>
      </c>
      <c r="F22" s="120" t="str">
        <f t="shared" si="1"/>
        <v>FAIL</v>
      </c>
    </row>
    <row r="23" spans="1:6" s="120" customFormat="1" x14ac:dyDescent="0.25">
      <c r="A23" s="120">
        <v>5973</v>
      </c>
      <c r="B23" s="120" t="s">
        <v>138</v>
      </c>
      <c r="C23" s="120">
        <v>600</v>
      </c>
      <c r="D23" s="120">
        <v>368</v>
      </c>
      <c r="E23" s="126">
        <f t="shared" si="0"/>
        <v>61.333333333333329</v>
      </c>
      <c r="F23" s="120" t="str">
        <f t="shared" si="1"/>
        <v>B</v>
      </c>
    </row>
    <row r="24" spans="1:6" s="120" customFormat="1" x14ac:dyDescent="0.25">
      <c r="A24" s="120">
        <v>6195</v>
      </c>
      <c r="B24" s="120" t="s">
        <v>28</v>
      </c>
      <c r="C24" s="120">
        <v>600</v>
      </c>
      <c r="D24" s="120">
        <v>371</v>
      </c>
      <c r="E24" s="126">
        <f t="shared" si="0"/>
        <v>61.833333333333329</v>
      </c>
      <c r="F24" s="120" t="str">
        <f t="shared" si="1"/>
        <v>B</v>
      </c>
    </row>
    <row r="25" spans="1:6" s="120" customFormat="1" x14ac:dyDescent="0.25">
      <c r="A25" s="120">
        <v>6417</v>
      </c>
      <c r="B25" s="120" t="s">
        <v>31</v>
      </c>
      <c r="C25" s="120">
        <v>600</v>
      </c>
      <c r="D25" s="120">
        <v>562</v>
      </c>
      <c r="E25" s="126">
        <f t="shared" si="0"/>
        <v>93.666666666666671</v>
      </c>
      <c r="F25" s="120" t="str">
        <f t="shared" si="1"/>
        <v>A</v>
      </c>
    </row>
    <row r="26" spans="1:6" s="120" customFormat="1" x14ac:dyDescent="0.25">
      <c r="A26" s="120">
        <v>6639</v>
      </c>
      <c r="B26" s="120" t="s">
        <v>46</v>
      </c>
      <c r="C26" s="120">
        <v>600</v>
      </c>
      <c r="D26" s="120">
        <v>208</v>
      </c>
      <c r="E26" s="126">
        <f t="shared" si="0"/>
        <v>34.666666666666671</v>
      </c>
      <c r="F26" s="120" t="str">
        <f t="shared" si="1"/>
        <v>FAIL</v>
      </c>
    </row>
    <row r="27" spans="1:6" s="120" customFormat="1" x14ac:dyDescent="0.25">
      <c r="A27" s="120">
        <v>6861</v>
      </c>
      <c r="B27" s="120" t="s">
        <v>35</v>
      </c>
      <c r="C27" s="120">
        <v>600</v>
      </c>
      <c r="D27" s="120">
        <v>480</v>
      </c>
      <c r="E27" s="126">
        <f t="shared" si="0"/>
        <v>80</v>
      </c>
      <c r="F27" s="120" t="str">
        <f t="shared" si="1"/>
        <v>A</v>
      </c>
    </row>
    <row r="28" spans="1:6" s="120" customFormat="1" x14ac:dyDescent="0.25">
      <c r="A28" s="120">
        <v>7083</v>
      </c>
      <c r="B28" s="120" t="s">
        <v>29</v>
      </c>
      <c r="C28" s="120">
        <v>600</v>
      </c>
      <c r="D28" s="120">
        <v>270</v>
      </c>
      <c r="E28" s="126">
        <f t="shared" si="0"/>
        <v>45</v>
      </c>
      <c r="F28" s="120" t="str">
        <f t="shared" si="1"/>
        <v>FAIL</v>
      </c>
    </row>
    <row r="29" spans="1:6" s="120" customFormat="1" x14ac:dyDescent="0.25">
      <c r="A29" s="120">
        <v>7305</v>
      </c>
      <c r="B29" s="120" t="s">
        <v>33</v>
      </c>
      <c r="C29" s="120">
        <v>600</v>
      </c>
      <c r="D29" s="120">
        <v>432</v>
      </c>
      <c r="E29" s="126">
        <f t="shared" si="0"/>
        <v>72</v>
      </c>
      <c r="F29" s="120" t="str">
        <f t="shared" si="1"/>
        <v>B</v>
      </c>
    </row>
    <row r="30" spans="1:6" s="120" customFormat="1" x14ac:dyDescent="0.25">
      <c r="A30" s="120">
        <v>7527</v>
      </c>
      <c r="B30" s="120" t="s">
        <v>37</v>
      </c>
      <c r="C30" s="120">
        <v>600</v>
      </c>
      <c r="D30" s="120">
        <v>199</v>
      </c>
      <c r="E30" s="126">
        <f t="shared" si="0"/>
        <v>33.166666666666664</v>
      </c>
      <c r="F30" s="120" t="str">
        <f t="shared" si="1"/>
        <v>FAIL</v>
      </c>
    </row>
    <row r="31" spans="1:6" s="120" customFormat="1" x14ac:dyDescent="0.25">
      <c r="A31" s="120">
        <v>7749</v>
      </c>
      <c r="B31" s="120" t="s">
        <v>40</v>
      </c>
      <c r="C31" s="120">
        <v>600</v>
      </c>
      <c r="D31" s="120">
        <v>525</v>
      </c>
      <c r="E31" s="126">
        <f t="shared" si="0"/>
        <v>87.5</v>
      </c>
      <c r="F31" s="120" t="str">
        <f t="shared" si="1"/>
        <v>A</v>
      </c>
    </row>
    <row r="32" spans="1:6" s="120" customFormat="1" x14ac:dyDescent="0.25">
      <c r="A32" s="120">
        <v>7971</v>
      </c>
      <c r="B32" s="120" t="s">
        <v>43</v>
      </c>
      <c r="C32" s="120">
        <v>600</v>
      </c>
      <c r="D32" s="120">
        <v>119</v>
      </c>
      <c r="E32" s="126">
        <f t="shared" si="0"/>
        <v>19.833333333333332</v>
      </c>
      <c r="F32" s="120" t="str">
        <f t="shared" si="1"/>
        <v>FAIL</v>
      </c>
    </row>
    <row r="33" spans="1:6" s="120" customFormat="1" x14ac:dyDescent="0.25">
      <c r="A33" s="120">
        <v>8193</v>
      </c>
      <c r="B33" s="120" t="s">
        <v>37</v>
      </c>
      <c r="C33" s="120">
        <v>600</v>
      </c>
      <c r="D33" s="120">
        <v>106</v>
      </c>
      <c r="E33" s="126">
        <f t="shared" si="0"/>
        <v>17.666666666666668</v>
      </c>
      <c r="F33" s="120" t="str">
        <f t="shared" si="1"/>
        <v>FAIL</v>
      </c>
    </row>
    <row r="34" spans="1:6" s="120" customFormat="1" x14ac:dyDescent="0.25">
      <c r="A34" s="120">
        <v>8415</v>
      </c>
      <c r="B34" s="120" t="s">
        <v>44</v>
      </c>
      <c r="C34" s="120">
        <v>600</v>
      </c>
      <c r="D34" s="120">
        <v>561</v>
      </c>
      <c r="E34" s="126">
        <f t="shared" si="0"/>
        <v>93.5</v>
      </c>
      <c r="F34" s="120" t="str">
        <f t="shared" si="1"/>
        <v>A</v>
      </c>
    </row>
    <row r="35" spans="1:6" s="120" customFormat="1" x14ac:dyDescent="0.25">
      <c r="A35" s="120">
        <v>8637</v>
      </c>
      <c r="B35" s="120" t="s">
        <v>36</v>
      </c>
      <c r="C35" s="120">
        <v>600</v>
      </c>
      <c r="D35" s="120">
        <v>347</v>
      </c>
      <c r="E35" s="126">
        <f t="shared" si="0"/>
        <v>57.833333333333336</v>
      </c>
      <c r="F35" s="120" t="str">
        <f t="shared" si="1"/>
        <v>C</v>
      </c>
    </row>
  </sheetData>
  <phoneticPr fontId="2"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3BE65-B848-4B5E-B72F-A71B0802D1BD}">
  <sheetPr codeName="Sheet35"/>
  <dimension ref="A3:N36"/>
  <sheetViews>
    <sheetView workbookViewId="0">
      <selection activeCell="J18" sqref="J18"/>
    </sheetView>
  </sheetViews>
  <sheetFormatPr defaultRowHeight="15" x14ac:dyDescent="0.25"/>
  <cols>
    <col min="1" max="1" width="39.140625" style="120" customWidth="1"/>
    <col min="2" max="2" width="15.140625" style="120" customWidth="1"/>
    <col min="3" max="3" width="13.5703125" style="120" customWidth="1"/>
    <col min="4" max="4" width="9.140625" style="120"/>
    <col min="5" max="5" width="21.140625" style="120" customWidth="1"/>
    <col min="6" max="6" width="9.140625" style="120" customWidth="1"/>
    <col min="7" max="7" width="9.140625" style="120"/>
    <col min="8" max="8" width="27.5703125" style="120" bestFit="1" customWidth="1"/>
    <col min="9" max="9" width="15.28515625" style="120" bestFit="1" customWidth="1"/>
    <col min="10" max="10" width="20.5703125" style="120" bestFit="1" customWidth="1"/>
    <col min="11" max="11" width="22.85546875" style="120" bestFit="1" customWidth="1"/>
    <col min="12" max="16384" width="9.140625" style="120"/>
  </cols>
  <sheetData>
    <row r="3" spans="1:14" ht="28.5" customHeight="1" x14ac:dyDescent="0.25">
      <c r="A3" s="248" t="s">
        <v>383</v>
      </c>
      <c r="B3" s="248"/>
      <c r="C3" s="248"/>
      <c r="D3" s="248"/>
      <c r="E3" s="248"/>
      <c r="H3" s="248" t="s">
        <v>386</v>
      </c>
      <c r="I3" s="248"/>
      <c r="J3" s="248"/>
      <c r="K3" s="248"/>
      <c r="L3" s="248"/>
      <c r="M3" s="248"/>
      <c r="N3" s="248"/>
    </row>
    <row r="6" spans="1:14" x14ac:dyDescent="0.25">
      <c r="A6" s="40" t="s">
        <v>384</v>
      </c>
      <c r="H6" s="121" t="s">
        <v>387</v>
      </c>
      <c r="I6" s="121" t="s">
        <v>388</v>
      </c>
      <c r="J6" s="121" t="s">
        <v>389</v>
      </c>
      <c r="K6" s="121" t="s">
        <v>390</v>
      </c>
    </row>
    <row r="7" spans="1:14" x14ac:dyDescent="0.25">
      <c r="A7" s="127">
        <v>93</v>
      </c>
      <c r="H7" s="128">
        <v>78.599999999999994</v>
      </c>
      <c r="I7" s="129">
        <v>0.68200000000000005</v>
      </c>
      <c r="J7" s="128">
        <v>0.65</v>
      </c>
      <c r="K7" s="120">
        <f>AVERAGE(H7:J7)</f>
        <v>26.644000000000002</v>
      </c>
    </row>
    <row r="8" spans="1:14" x14ac:dyDescent="0.25">
      <c r="A8" s="127">
        <v>93</v>
      </c>
    </row>
    <row r="9" spans="1:14" x14ac:dyDescent="0.25">
      <c r="A9" s="127">
        <v>91</v>
      </c>
      <c r="K9" s="120">
        <f>AVERAGE(H7:J7)</f>
        <v>26.644000000000002</v>
      </c>
    </row>
    <row r="10" spans="1:14" x14ac:dyDescent="0.25">
      <c r="A10" s="127">
        <v>96</v>
      </c>
    </row>
    <row r="11" spans="1:14" x14ac:dyDescent="0.25">
      <c r="A11" s="127">
        <v>99</v>
      </c>
    </row>
    <row r="12" spans="1:14" x14ac:dyDescent="0.25">
      <c r="A12" s="127">
        <v>92</v>
      </c>
    </row>
    <row r="13" spans="1:14" ht="32.25" customHeight="1" x14ac:dyDescent="0.25">
      <c r="A13" s="127">
        <v>94</v>
      </c>
      <c r="C13" s="125">
        <f>COUNTIFS(A7:A25,"&gt;95",A7:A25,"&lt;99")</f>
        <v>4</v>
      </c>
      <c r="H13" s="248" t="s">
        <v>392</v>
      </c>
      <c r="I13" s="248"/>
      <c r="J13" s="248"/>
    </row>
    <row r="14" spans="1:14" x14ac:dyDescent="0.25">
      <c r="A14" s="127">
        <v>93</v>
      </c>
      <c r="J14" s="122" t="s">
        <v>398</v>
      </c>
    </row>
    <row r="15" spans="1:14" x14ac:dyDescent="0.25">
      <c r="A15" s="127">
        <v>95</v>
      </c>
      <c r="H15" s="130" t="s">
        <v>393</v>
      </c>
      <c r="J15" s="120">
        <f>COUNTIF(I20:K23,"&lt;=4000")</f>
        <v>4</v>
      </c>
      <c r="K15" s="120">
        <f>COUNTIF(I19:K23,"&lt;=4000")</f>
        <v>4</v>
      </c>
    </row>
    <row r="16" spans="1:14" x14ac:dyDescent="0.25">
      <c r="A16" s="127">
        <v>96</v>
      </c>
      <c r="D16" s="120">
        <f>COUNTIFS(A6:A25,"&gt;95",A6:A25,"&lt;99")</f>
        <v>4</v>
      </c>
      <c r="H16" s="130" t="s">
        <v>394</v>
      </c>
      <c r="J16" s="120">
        <f>COUNTIFS(I20:K23,"&gt;=4000",I20:K23,"&lt;=6000")</f>
        <v>6</v>
      </c>
      <c r="K16" s="120">
        <f>COUNTIFS(I20:K23,"&gt;=4000",I20:K23,"&lt;=6000")</f>
        <v>6</v>
      </c>
    </row>
    <row r="17" spans="1:11" x14ac:dyDescent="0.25">
      <c r="A17" s="127">
        <v>90</v>
      </c>
      <c r="H17" s="130" t="s">
        <v>395</v>
      </c>
      <c r="J17" s="120">
        <f>COUNTIF(I20:K23,"&gt;= 6000")</f>
        <v>5</v>
      </c>
      <c r="K17" s="120">
        <f>COUNTIF(I20:K23,"&gt;=6000")</f>
        <v>5</v>
      </c>
    </row>
    <row r="18" spans="1:11" x14ac:dyDescent="0.25">
      <c r="A18" s="127">
        <v>96</v>
      </c>
    </row>
    <row r="19" spans="1:11" x14ac:dyDescent="0.25">
      <c r="A19" s="127">
        <v>91</v>
      </c>
      <c r="H19" s="121" t="s">
        <v>218</v>
      </c>
      <c r="I19" s="121" t="s">
        <v>160</v>
      </c>
      <c r="J19" s="121" t="s">
        <v>161</v>
      </c>
      <c r="K19" s="121" t="s">
        <v>162</v>
      </c>
    </row>
    <row r="20" spans="1:11" x14ac:dyDescent="0.25">
      <c r="A20" s="127">
        <v>95</v>
      </c>
      <c r="H20" s="120" t="s">
        <v>224</v>
      </c>
      <c r="I20" s="120">
        <v>5000</v>
      </c>
      <c r="J20" s="120">
        <v>6000</v>
      </c>
      <c r="K20" s="120">
        <v>4500</v>
      </c>
    </row>
    <row r="21" spans="1:11" x14ac:dyDescent="0.25">
      <c r="A21" s="127">
        <v>97</v>
      </c>
      <c r="H21" s="120" t="s">
        <v>225</v>
      </c>
      <c r="I21" s="120">
        <v>5800</v>
      </c>
      <c r="J21" s="120">
        <v>7000</v>
      </c>
      <c r="K21" s="120">
        <v>3000</v>
      </c>
    </row>
    <row r="22" spans="1:11" x14ac:dyDescent="0.25">
      <c r="A22" s="127">
        <v>94</v>
      </c>
      <c r="H22" s="120" t="s">
        <v>397</v>
      </c>
      <c r="I22" s="120">
        <v>3500</v>
      </c>
      <c r="J22" s="120">
        <v>3900</v>
      </c>
      <c r="K22" s="120">
        <v>10000</v>
      </c>
    </row>
    <row r="23" spans="1:11" x14ac:dyDescent="0.25">
      <c r="A23" s="127">
        <v>92</v>
      </c>
      <c r="H23" s="120" t="s">
        <v>396</v>
      </c>
      <c r="I23" s="120">
        <v>12000</v>
      </c>
      <c r="J23" s="120">
        <v>4000</v>
      </c>
      <c r="K23" s="120">
        <v>6000</v>
      </c>
    </row>
    <row r="24" spans="1:11" x14ac:dyDescent="0.25">
      <c r="A24" s="127">
        <v>95</v>
      </c>
    </row>
    <row r="25" spans="1:11" x14ac:dyDescent="0.25">
      <c r="A25" s="127">
        <v>94</v>
      </c>
    </row>
    <row r="27" spans="1:11" x14ac:dyDescent="0.25">
      <c r="A27" s="120" t="s">
        <v>139</v>
      </c>
    </row>
    <row r="29" spans="1:11" ht="28.5" customHeight="1" x14ac:dyDescent="0.25">
      <c r="A29" s="248" t="s">
        <v>385</v>
      </c>
      <c r="B29" s="248"/>
      <c r="C29" s="248"/>
      <c r="D29" s="248"/>
      <c r="E29" s="248"/>
    </row>
    <row r="30" spans="1:11" x14ac:dyDescent="0.25">
      <c r="A30" s="120" t="s">
        <v>139</v>
      </c>
    </row>
    <row r="31" spans="1:11" x14ac:dyDescent="0.25">
      <c r="A31" s="121" t="s">
        <v>17</v>
      </c>
      <c r="B31" s="121" t="s">
        <v>391</v>
      </c>
      <c r="C31" s="121" t="s">
        <v>10</v>
      </c>
    </row>
    <row r="32" spans="1:11" x14ac:dyDescent="0.25">
      <c r="A32" s="120" t="s">
        <v>28</v>
      </c>
      <c r="B32" s="120">
        <v>94</v>
      </c>
      <c r="C32" s="120">
        <f>AVERAGEIF(A32:A36,A33,B32:B36)</f>
        <v>92</v>
      </c>
    </row>
    <row r="33" spans="1:2" x14ac:dyDescent="0.25">
      <c r="A33" s="120" t="s">
        <v>399</v>
      </c>
      <c r="B33" s="120">
        <v>92</v>
      </c>
    </row>
    <row r="34" spans="1:2" x14ac:dyDescent="0.25">
      <c r="A34" s="120" t="s">
        <v>32</v>
      </c>
      <c r="B34" s="120">
        <v>96</v>
      </c>
    </row>
    <row r="35" spans="1:2" x14ac:dyDescent="0.25">
      <c r="A35" s="120" t="s">
        <v>42</v>
      </c>
      <c r="B35" s="120">
        <v>92</v>
      </c>
    </row>
    <row r="36" spans="1:2" x14ac:dyDescent="0.25">
      <c r="A36" s="120" t="s">
        <v>31</v>
      </c>
      <c r="B36" s="120">
        <v>99</v>
      </c>
    </row>
  </sheetData>
  <mergeCells count="4">
    <mergeCell ref="A3:E3"/>
    <mergeCell ref="A29:E29"/>
    <mergeCell ref="H3:N3"/>
    <mergeCell ref="H13:J13"/>
  </mergeCells>
  <phoneticPr fontId="2"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13BB3-FFBF-4240-BD41-FD8913622033}">
  <sheetPr codeName="Sheet36"/>
  <dimension ref="B3:K11"/>
  <sheetViews>
    <sheetView workbookViewId="0">
      <selection activeCell="J11" sqref="J11"/>
    </sheetView>
  </sheetViews>
  <sheetFormatPr defaultRowHeight="15" x14ac:dyDescent="0.25"/>
  <cols>
    <col min="2" max="2" width="13" customWidth="1"/>
    <col min="3" max="3" width="14" customWidth="1"/>
    <col min="4" max="4" width="18.7109375" customWidth="1"/>
    <col min="5" max="5" width="13.5703125" customWidth="1"/>
  </cols>
  <sheetData>
    <row r="3" spans="2:11" x14ac:dyDescent="0.25">
      <c r="B3" s="132" t="s">
        <v>400</v>
      </c>
      <c r="C3" s="132" t="s">
        <v>401</v>
      </c>
      <c r="D3" s="132" t="s">
        <v>402</v>
      </c>
      <c r="E3" s="132" t="s">
        <v>401</v>
      </c>
    </row>
    <row r="4" spans="2:11" x14ac:dyDescent="0.25">
      <c r="B4" s="16" t="s">
        <v>403</v>
      </c>
      <c r="C4" s="16">
        <v>350</v>
      </c>
      <c r="D4" s="16" t="s">
        <v>409</v>
      </c>
      <c r="E4" s="16">
        <v>10</v>
      </c>
    </row>
    <row r="5" spans="2:11" x14ac:dyDescent="0.25">
      <c r="B5" s="16" t="s">
        <v>404</v>
      </c>
      <c r="C5" s="16">
        <v>370</v>
      </c>
      <c r="D5" s="16" t="s">
        <v>410</v>
      </c>
      <c r="E5" s="16">
        <v>40</v>
      </c>
      <c r="G5" s="137" t="s">
        <v>412</v>
      </c>
      <c r="H5" s="137"/>
      <c r="I5" s="137"/>
      <c r="J5" s="137"/>
      <c r="K5" s="137"/>
    </row>
    <row r="6" spans="2:11" x14ac:dyDescent="0.25">
      <c r="B6" s="16" t="s">
        <v>405</v>
      </c>
      <c r="C6" s="16">
        <v>450</v>
      </c>
      <c r="D6" s="16" t="s">
        <v>409</v>
      </c>
      <c r="E6" s="16">
        <v>30</v>
      </c>
    </row>
    <row r="7" spans="2:11" x14ac:dyDescent="0.25">
      <c r="B7" s="16" t="s">
        <v>403</v>
      </c>
      <c r="C7" s="16">
        <v>350</v>
      </c>
      <c r="D7" s="16" t="s">
        <v>411</v>
      </c>
      <c r="E7" s="16">
        <v>40</v>
      </c>
    </row>
    <row r="8" spans="2:11" x14ac:dyDescent="0.25">
      <c r="B8" s="16" t="s">
        <v>406</v>
      </c>
      <c r="C8" s="16">
        <v>400</v>
      </c>
      <c r="D8" s="16" t="s">
        <v>47</v>
      </c>
      <c r="E8" s="16">
        <v>30</v>
      </c>
      <c r="H8">
        <f>SUMIF(B4:B11,B4,C4:C11)+SUMIF(D4:D9,D5,E4:E9)</f>
        <v>1150</v>
      </c>
    </row>
    <row r="9" spans="2:11" x14ac:dyDescent="0.25">
      <c r="B9" s="16" t="s">
        <v>407</v>
      </c>
      <c r="C9" s="16">
        <v>360</v>
      </c>
      <c r="D9" s="16" t="s">
        <v>410</v>
      </c>
      <c r="E9" s="16">
        <v>40</v>
      </c>
    </row>
    <row r="10" spans="2:11" x14ac:dyDescent="0.25">
      <c r="B10" s="16" t="s">
        <v>403</v>
      </c>
      <c r="C10" s="16">
        <v>370</v>
      </c>
      <c r="J10">
        <f>SUMIF(B4:B11,B4,C4:C12)+SUMIF(D4:D9,D5,E4:E9)</f>
        <v>1150</v>
      </c>
    </row>
    <row r="11" spans="2:11" x14ac:dyDescent="0.25">
      <c r="B11" s="16" t="s">
        <v>408</v>
      </c>
      <c r="C11" s="16">
        <v>320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9CFED-2C1A-4F4B-8AFC-013D35BE3F3B}">
  <sheetPr codeName="Sheet37"/>
  <dimension ref="A2:AT296"/>
  <sheetViews>
    <sheetView workbookViewId="0">
      <selection activeCell="H37" sqref="H37"/>
    </sheetView>
  </sheetViews>
  <sheetFormatPr defaultRowHeight="15" x14ac:dyDescent="0.25"/>
  <cols>
    <col min="1" max="1" width="12.140625" customWidth="1"/>
    <col min="2" max="2" width="13" customWidth="1"/>
    <col min="3" max="3" width="13.28515625" customWidth="1"/>
    <col min="4" max="4" width="13.5703125" customWidth="1"/>
    <col min="5" max="5" width="21" customWidth="1"/>
    <col min="6" max="7" width="9.140625" customWidth="1"/>
    <col min="8" max="8" width="64.7109375" bestFit="1" customWidth="1"/>
  </cols>
  <sheetData>
    <row r="2" spans="1:46" x14ac:dyDescent="0.25">
      <c r="A2" s="191" t="s">
        <v>95</v>
      </c>
      <c r="B2" s="191" t="s">
        <v>413</v>
      </c>
      <c r="C2" s="191" t="s">
        <v>414</v>
      </c>
      <c r="D2" s="191" t="s">
        <v>415</v>
      </c>
      <c r="E2" s="191" t="s">
        <v>416</v>
      </c>
    </row>
    <row r="3" spans="1:46" x14ac:dyDescent="0.25">
      <c r="A3" s="16" t="s">
        <v>417</v>
      </c>
      <c r="B3" s="16" t="s">
        <v>423</v>
      </c>
      <c r="C3" s="16">
        <v>4415</v>
      </c>
      <c r="D3" s="16">
        <v>2329</v>
      </c>
      <c r="E3" s="16">
        <f>C3-D3</f>
        <v>2086</v>
      </c>
      <c r="F3" s="131"/>
      <c r="G3" s="131"/>
      <c r="H3" s="40" t="s">
        <v>426</v>
      </c>
      <c r="I3" s="131"/>
      <c r="J3" s="131"/>
      <c r="K3" s="131"/>
      <c r="L3" s="131"/>
      <c r="M3" s="131"/>
      <c r="N3" s="131"/>
      <c r="O3" s="131"/>
      <c r="P3" s="131"/>
      <c r="Q3" s="131"/>
      <c r="R3" s="131"/>
      <c r="S3" s="131"/>
      <c r="T3" s="131"/>
      <c r="U3" s="131"/>
      <c r="V3" s="131"/>
      <c r="W3" s="131"/>
      <c r="X3" s="131"/>
      <c r="Y3" s="131"/>
      <c r="Z3" s="131"/>
      <c r="AA3" s="131"/>
      <c r="AB3" s="131"/>
      <c r="AC3" s="131"/>
      <c r="AD3" s="131"/>
      <c r="AE3" s="131"/>
      <c r="AF3" s="131"/>
      <c r="AG3" s="131"/>
      <c r="AH3" s="131"/>
      <c r="AI3" s="131"/>
      <c r="AJ3" s="131"/>
      <c r="AK3" s="131"/>
      <c r="AL3" s="131"/>
      <c r="AM3" s="131"/>
      <c r="AN3" s="131"/>
      <c r="AO3" s="131"/>
      <c r="AP3" s="131"/>
      <c r="AQ3" s="131"/>
      <c r="AR3" s="131"/>
      <c r="AS3" s="131"/>
      <c r="AT3" s="131"/>
    </row>
    <row r="4" spans="1:46" x14ac:dyDescent="0.25">
      <c r="A4" s="16" t="s">
        <v>418</v>
      </c>
      <c r="B4" s="16" t="s">
        <v>424</v>
      </c>
      <c r="C4" s="16">
        <v>4966</v>
      </c>
      <c r="D4" s="16">
        <v>2393</v>
      </c>
      <c r="E4" s="16">
        <f t="shared" ref="E4:E40" si="0">C4-D4</f>
        <v>2573</v>
      </c>
      <c r="F4" s="131"/>
      <c r="G4" s="131"/>
      <c r="H4" s="40" t="s">
        <v>427</v>
      </c>
      <c r="I4" s="131"/>
      <c r="J4" s="131"/>
      <c r="K4" s="131"/>
      <c r="L4" s="131"/>
      <c r="M4" s="131"/>
      <c r="N4" s="131"/>
      <c r="O4" s="131"/>
      <c r="P4" s="131"/>
      <c r="Q4" s="131"/>
      <c r="R4" s="131"/>
      <c r="S4" s="131"/>
      <c r="T4" s="131"/>
      <c r="U4" s="131"/>
      <c r="V4" s="131"/>
      <c r="W4" s="131"/>
      <c r="X4" s="131"/>
      <c r="Y4" s="131"/>
      <c r="Z4" s="131"/>
      <c r="AA4" s="131"/>
      <c r="AB4" s="131"/>
      <c r="AC4" s="131"/>
      <c r="AD4" s="131"/>
      <c r="AE4" s="131"/>
      <c r="AF4" s="131"/>
      <c r="AG4" s="131"/>
      <c r="AH4" s="131"/>
      <c r="AI4" s="131"/>
      <c r="AJ4" s="131"/>
      <c r="AK4" s="131"/>
      <c r="AL4" s="131"/>
      <c r="AM4" s="131"/>
      <c r="AN4" s="131"/>
      <c r="AO4" s="131"/>
      <c r="AP4" s="131"/>
      <c r="AQ4" s="131"/>
      <c r="AR4" s="131"/>
      <c r="AS4" s="131"/>
      <c r="AT4" s="131"/>
    </row>
    <row r="5" spans="1:46" x14ac:dyDescent="0.25">
      <c r="A5" s="16" t="s">
        <v>419</v>
      </c>
      <c r="B5" s="16" t="s">
        <v>425</v>
      </c>
      <c r="C5" s="16">
        <v>4627</v>
      </c>
      <c r="D5" s="16">
        <v>3065</v>
      </c>
      <c r="E5" s="16">
        <f t="shared" si="0"/>
        <v>1562</v>
      </c>
      <c r="F5" s="131"/>
      <c r="G5" s="131"/>
      <c r="H5" s="40" t="s">
        <v>428</v>
      </c>
      <c r="I5" s="131"/>
      <c r="J5" s="131"/>
      <c r="K5" s="131"/>
      <c r="L5" s="131"/>
      <c r="M5" s="131"/>
      <c r="N5" s="131"/>
      <c r="O5" s="131"/>
      <c r="P5" s="131"/>
      <c r="Q5" s="131"/>
      <c r="R5" s="131"/>
      <c r="S5" s="131"/>
      <c r="T5" s="131"/>
      <c r="U5" s="131"/>
      <c r="V5" s="131"/>
      <c r="W5" s="131"/>
      <c r="X5" s="131"/>
      <c r="Y5" s="131"/>
      <c r="Z5" s="131"/>
      <c r="AA5" s="131"/>
      <c r="AB5" s="131"/>
      <c r="AC5" s="131"/>
      <c r="AD5" s="131"/>
      <c r="AE5" s="131"/>
      <c r="AF5" s="131"/>
      <c r="AG5" s="131"/>
      <c r="AH5" s="131"/>
      <c r="AI5" s="131"/>
      <c r="AJ5" s="131"/>
      <c r="AK5" s="131"/>
      <c r="AL5" s="131"/>
      <c r="AM5" s="131"/>
      <c r="AN5" s="131"/>
      <c r="AO5" s="131"/>
      <c r="AP5" s="131"/>
      <c r="AQ5" s="131"/>
      <c r="AR5" s="131"/>
      <c r="AS5" s="131"/>
      <c r="AT5" s="131"/>
    </row>
    <row r="6" spans="1:46" x14ac:dyDescent="0.25">
      <c r="A6" s="16" t="s">
        <v>420</v>
      </c>
      <c r="B6" s="16" t="s">
        <v>425</v>
      </c>
      <c r="C6" s="16">
        <v>3334</v>
      </c>
      <c r="D6" s="16">
        <v>2587</v>
      </c>
      <c r="E6" s="16">
        <f t="shared" si="0"/>
        <v>747</v>
      </c>
      <c r="F6" s="131"/>
      <c r="G6" s="131"/>
      <c r="H6" s="40" t="s">
        <v>429</v>
      </c>
      <c r="I6" s="131"/>
      <c r="J6" s="131"/>
      <c r="K6" s="131"/>
      <c r="L6" s="131"/>
      <c r="M6" s="131"/>
      <c r="N6" s="131"/>
      <c r="O6" s="131"/>
      <c r="P6" s="131"/>
      <c r="Q6" s="131"/>
      <c r="R6" s="131"/>
      <c r="S6" s="131"/>
      <c r="T6" s="131"/>
      <c r="U6" s="131"/>
      <c r="V6" s="131"/>
      <c r="W6" s="131"/>
      <c r="X6" s="131"/>
      <c r="Y6" s="131"/>
      <c r="Z6" s="131"/>
      <c r="AA6" s="131"/>
      <c r="AB6" s="131"/>
      <c r="AC6" s="131"/>
      <c r="AD6" s="131"/>
      <c r="AE6" s="131"/>
      <c r="AF6" s="131"/>
      <c r="AG6" s="131"/>
      <c r="AH6" s="131"/>
      <c r="AI6" s="131"/>
      <c r="AJ6" s="131"/>
      <c r="AK6" s="131"/>
      <c r="AL6" s="131"/>
      <c r="AM6" s="131"/>
      <c r="AN6" s="131"/>
      <c r="AO6" s="131"/>
      <c r="AP6" s="131"/>
      <c r="AQ6" s="131"/>
      <c r="AR6" s="131"/>
      <c r="AS6" s="131"/>
      <c r="AT6" s="131"/>
    </row>
    <row r="7" spans="1:46" x14ac:dyDescent="0.25">
      <c r="A7" s="16" t="s">
        <v>417</v>
      </c>
      <c r="B7" s="16" t="s">
        <v>425</v>
      </c>
      <c r="C7" s="16">
        <v>4750</v>
      </c>
      <c r="D7" s="16">
        <v>2318</v>
      </c>
      <c r="E7" s="16">
        <f t="shared" si="0"/>
        <v>2432</v>
      </c>
      <c r="F7" s="131"/>
      <c r="G7" s="131"/>
      <c r="I7" s="131"/>
      <c r="J7" s="131"/>
      <c r="K7" s="131"/>
      <c r="L7" s="131"/>
      <c r="M7" s="131"/>
      <c r="N7" s="131"/>
      <c r="O7" s="131"/>
      <c r="P7" s="131"/>
      <c r="Q7" s="131"/>
      <c r="R7" s="131"/>
      <c r="S7" s="131"/>
      <c r="T7" s="131"/>
      <c r="U7" s="131"/>
      <c r="V7" s="131"/>
      <c r="W7" s="131"/>
      <c r="X7" s="131"/>
      <c r="Y7" s="131"/>
      <c r="Z7" s="131"/>
      <c r="AA7" s="131"/>
      <c r="AB7" s="131"/>
      <c r="AC7" s="131"/>
      <c r="AD7" s="131"/>
      <c r="AE7" s="131"/>
      <c r="AF7" s="131"/>
      <c r="AG7" s="131"/>
      <c r="AH7" s="131"/>
      <c r="AI7" s="131"/>
      <c r="AJ7" s="131"/>
      <c r="AK7" s="131"/>
      <c r="AL7" s="131"/>
      <c r="AM7" s="131"/>
      <c r="AN7" s="131"/>
      <c r="AO7" s="131"/>
      <c r="AP7" s="131"/>
      <c r="AQ7" s="131"/>
      <c r="AR7" s="131"/>
      <c r="AS7" s="131"/>
      <c r="AT7" s="131"/>
    </row>
    <row r="8" spans="1:46" x14ac:dyDescent="0.25">
      <c r="A8" s="16" t="s">
        <v>419</v>
      </c>
      <c r="B8" s="16" t="s">
        <v>424</v>
      </c>
      <c r="C8" s="16">
        <v>4016</v>
      </c>
      <c r="D8" s="16">
        <v>3928</v>
      </c>
      <c r="E8" s="16">
        <f t="shared" si="0"/>
        <v>88</v>
      </c>
      <c r="F8" s="131"/>
      <c r="G8" s="131"/>
      <c r="H8" s="131"/>
      <c r="I8" s="131"/>
      <c r="J8" s="131"/>
      <c r="K8" s="131"/>
      <c r="L8" s="131"/>
      <c r="M8" s="131"/>
      <c r="N8" s="131"/>
      <c r="O8" s="131"/>
      <c r="P8" s="131"/>
      <c r="Q8" s="131"/>
      <c r="R8" s="131"/>
      <c r="S8" s="131"/>
      <c r="T8" s="131"/>
      <c r="U8" s="131"/>
      <c r="V8" s="131"/>
      <c r="W8" s="131"/>
      <c r="X8" s="131"/>
      <c r="Y8" s="131"/>
      <c r="Z8" s="131"/>
      <c r="AA8" s="131"/>
      <c r="AB8" s="131"/>
      <c r="AC8" s="131"/>
      <c r="AD8" s="131"/>
      <c r="AE8" s="131"/>
      <c r="AF8" s="131"/>
      <c r="AG8" s="131"/>
      <c r="AH8" s="131"/>
      <c r="AI8" s="131"/>
      <c r="AJ8" s="131"/>
      <c r="AK8" s="131"/>
      <c r="AL8" s="131"/>
      <c r="AM8" s="131"/>
      <c r="AN8" s="131"/>
      <c r="AO8" s="131"/>
      <c r="AP8" s="131"/>
      <c r="AQ8" s="131"/>
      <c r="AR8" s="131"/>
      <c r="AS8" s="131"/>
      <c r="AT8" s="131"/>
    </row>
    <row r="9" spans="1:46" x14ac:dyDescent="0.25">
      <c r="A9" s="16" t="s">
        <v>419</v>
      </c>
      <c r="B9" s="16" t="s">
        <v>424</v>
      </c>
      <c r="C9" s="16">
        <v>2864</v>
      </c>
      <c r="D9" s="16">
        <v>3062</v>
      </c>
      <c r="E9" s="16">
        <f t="shared" si="0"/>
        <v>-198</v>
      </c>
      <c r="F9" s="131"/>
      <c r="G9" s="131"/>
      <c r="H9" s="195">
        <f>COUNTIF(A2:A40,A27)</f>
        <v>9</v>
      </c>
      <c r="I9" s="131"/>
      <c r="J9" s="131"/>
      <c r="K9" s="131"/>
      <c r="L9" s="131"/>
      <c r="M9" s="131"/>
      <c r="N9" s="131"/>
      <c r="O9" s="131"/>
      <c r="P9" s="131"/>
      <c r="Q9" s="131"/>
      <c r="R9" s="131"/>
      <c r="S9" s="131"/>
      <c r="T9" s="131"/>
      <c r="U9" s="131"/>
      <c r="V9" s="131"/>
      <c r="W9" s="131"/>
      <c r="X9" s="131"/>
      <c r="Y9" s="131"/>
      <c r="Z9" s="131"/>
      <c r="AA9" s="131"/>
      <c r="AB9" s="131"/>
      <c r="AC9" s="131"/>
      <c r="AD9" s="131"/>
      <c r="AE9" s="131"/>
      <c r="AF9" s="131"/>
      <c r="AG9" s="131"/>
      <c r="AH9" s="131"/>
      <c r="AI9" s="131"/>
      <c r="AJ9" s="131"/>
      <c r="AK9" s="131"/>
      <c r="AL9" s="131"/>
      <c r="AM9" s="131"/>
      <c r="AN9" s="131"/>
      <c r="AO9" s="131"/>
      <c r="AP9" s="131"/>
      <c r="AQ9" s="131"/>
      <c r="AR9" s="131"/>
      <c r="AS9" s="131"/>
      <c r="AT9" s="131"/>
    </row>
    <row r="10" spans="1:46" x14ac:dyDescent="0.25">
      <c r="A10" s="16" t="s">
        <v>420</v>
      </c>
      <c r="B10" s="16" t="s">
        <v>424</v>
      </c>
      <c r="C10" s="16">
        <v>2027</v>
      </c>
      <c r="D10" s="16">
        <v>4627</v>
      </c>
      <c r="E10" s="16">
        <f t="shared" si="0"/>
        <v>-2600</v>
      </c>
      <c r="F10" s="131"/>
      <c r="G10" s="131"/>
      <c r="H10" s="195">
        <f>COUNTIFS(A2:A40,A11,B2:B40,B13)</f>
        <v>4</v>
      </c>
      <c r="I10" s="131"/>
      <c r="J10" s="131"/>
      <c r="K10" s="131"/>
      <c r="L10" s="131"/>
      <c r="M10" s="131"/>
      <c r="N10" s="131"/>
      <c r="O10" s="131"/>
      <c r="P10" s="131"/>
      <c r="Q10" s="131"/>
      <c r="R10" s="131"/>
      <c r="S10" s="131"/>
      <c r="T10" s="131"/>
      <c r="U10" s="131"/>
      <c r="V10" s="131"/>
      <c r="W10" s="131"/>
      <c r="X10" s="131"/>
      <c r="Y10" s="131"/>
      <c r="Z10" s="131"/>
      <c r="AA10" s="131"/>
      <c r="AB10" s="131"/>
      <c r="AC10" s="131"/>
      <c r="AD10" s="131"/>
      <c r="AE10" s="131"/>
      <c r="AF10" s="131"/>
      <c r="AG10" s="131"/>
      <c r="AH10" s="131"/>
      <c r="AI10" s="131"/>
      <c r="AJ10" s="131"/>
      <c r="AK10" s="131"/>
      <c r="AL10" s="131"/>
      <c r="AM10" s="131"/>
      <c r="AN10" s="131"/>
      <c r="AO10" s="131"/>
      <c r="AP10" s="131"/>
      <c r="AQ10" s="131"/>
      <c r="AR10" s="131"/>
      <c r="AS10" s="131"/>
      <c r="AT10" s="131"/>
    </row>
    <row r="11" spans="1:46" x14ac:dyDescent="0.25">
      <c r="A11" s="16" t="s">
        <v>417</v>
      </c>
      <c r="B11" s="16" t="s">
        <v>424</v>
      </c>
      <c r="C11" s="16">
        <v>2002</v>
      </c>
      <c r="D11" s="16">
        <v>4059</v>
      </c>
      <c r="E11" s="16">
        <f t="shared" si="0"/>
        <v>-2057</v>
      </c>
      <c r="F11" s="131"/>
      <c r="G11" s="131"/>
      <c r="H11" s="195">
        <f>SUMIF(A2:A40,A7,E2:E40)</f>
        <v>-3648</v>
      </c>
      <c r="I11" s="131"/>
      <c r="J11" s="131"/>
      <c r="K11" s="131"/>
      <c r="L11" s="131"/>
      <c r="M11" s="131"/>
      <c r="N11" s="131"/>
      <c r="O11" s="131"/>
      <c r="P11" s="131"/>
      <c r="Q11" s="131"/>
      <c r="R11" s="131"/>
      <c r="S11" s="131"/>
      <c r="T11" s="131"/>
      <c r="U11" s="131"/>
      <c r="V11" s="131"/>
      <c r="W11" s="131"/>
      <c r="X11" s="131"/>
      <c r="Y11" s="131"/>
      <c r="Z11" s="131"/>
      <c r="AA11" s="131"/>
      <c r="AB11" s="131"/>
      <c r="AC11" s="131"/>
      <c r="AD11" s="131"/>
      <c r="AE11" s="131"/>
      <c r="AF11" s="131"/>
      <c r="AG11" s="131"/>
      <c r="AH11" s="131"/>
      <c r="AI11" s="131"/>
      <c r="AJ11" s="131"/>
      <c r="AK11" s="131"/>
      <c r="AL11" s="131"/>
      <c r="AM11" s="131"/>
      <c r="AN11" s="131"/>
      <c r="AO11" s="131"/>
      <c r="AP11" s="131"/>
      <c r="AQ11" s="131"/>
      <c r="AR11" s="131"/>
      <c r="AS11" s="131"/>
      <c r="AT11" s="131"/>
    </row>
    <row r="12" spans="1:46" x14ac:dyDescent="0.25">
      <c r="A12" s="16" t="s">
        <v>418</v>
      </c>
      <c r="B12" s="16" t="s">
        <v>425</v>
      </c>
      <c r="C12" s="16">
        <v>4481</v>
      </c>
      <c r="D12" s="16">
        <v>3782</v>
      </c>
      <c r="E12" s="16">
        <f t="shared" si="0"/>
        <v>699</v>
      </c>
      <c r="F12" s="131"/>
      <c r="G12" s="131"/>
      <c r="H12" s="195">
        <f>SUMIFS(E2:E40,A2:A40,A7,B2:B40,B18)</f>
        <v>-1090</v>
      </c>
      <c r="I12" s="131"/>
      <c r="J12" s="131"/>
      <c r="K12" s="131"/>
      <c r="L12" s="131"/>
      <c r="M12" s="131"/>
      <c r="N12" s="131"/>
      <c r="O12" s="131"/>
      <c r="P12" s="131"/>
      <c r="Q12" s="131"/>
      <c r="R12" s="131"/>
      <c r="S12" s="131"/>
      <c r="T12" s="131"/>
      <c r="U12" s="131"/>
      <c r="V12" s="131"/>
      <c r="W12" s="131"/>
      <c r="X12" s="131"/>
      <c r="Y12" s="131"/>
      <c r="Z12" s="131"/>
      <c r="AA12" s="131"/>
      <c r="AB12" s="131"/>
      <c r="AC12" s="131"/>
      <c r="AD12" s="131"/>
      <c r="AE12" s="131"/>
      <c r="AF12" s="131"/>
      <c r="AG12" s="131"/>
      <c r="AH12" s="131"/>
      <c r="AI12" s="131"/>
      <c r="AJ12" s="131"/>
      <c r="AK12" s="131"/>
      <c r="AL12" s="131"/>
      <c r="AM12" s="131"/>
      <c r="AN12" s="131"/>
      <c r="AO12" s="131"/>
      <c r="AP12" s="131"/>
      <c r="AQ12" s="131"/>
      <c r="AR12" s="131"/>
      <c r="AS12" s="131"/>
      <c r="AT12" s="131"/>
    </row>
    <row r="13" spans="1:46" x14ac:dyDescent="0.25">
      <c r="A13" s="16" t="s">
        <v>417</v>
      </c>
      <c r="B13" s="16" t="s">
        <v>423</v>
      </c>
      <c r="C13" s="16">
        <v>3313</v>
      </c>
      <c r="D13" s="16">
        <v>4941</v>
      </c>
      <c r="E13" s="16">
        <f t="shared" si="0"/>
        <v>-1628</v>
      </c>
      <c r="F13" s="131"/>
      <c r="G13" s="131"/>
      <c r="H13" s="131"/>
      <c r="I13" s="131"/>
      <c r="J13" s="131"/>
      <c r="K13" s="131"/>
      <c r="L13" s="131"/>
      <c r="M13" s="131"/>
      <c r="N13" s="131"/>
      <c r="O13" s="131"/>
      <c r="P13" s="131"/>
      <c r="Q13" s="131"/>
      <c r="R13" s="131"/>
      <c r="S13" s="131"/>
      <c r="T13" s="131"/>
      <c r="U13" s="131"/>
      <c r="V13" s="131"/>
      <c r="W13" s="131"/>
      <c r="X13" s="131"/>
      <c r="Y13" s="131"/>
      <c r="Z13" s="131"/>
      <c r="AA13" s="131"/>
      <c r="AB13" s="131"/>
      <c r="AC13" s="131"/>
      <c r="AD13" s="131"/>
      <c r="AE13" s="131"/>
      <c r="AF13" s="131"/>
      <c r="AG13" s="131"/>
      <c r="AH13" s="131"/>
      <c r="AI13" s="131"/>
      <c r="AJ13" s="131"/>
      <c r="AK13" s="131"/>
      <c r="AL13" s="131"/>
      <c r="AM13" s="131"/>
      <c r="AN13" s="131"/>
      <c r="AO13" s="131"/>
      <c r="AP13" s="131"/>
      <c r="AQ13" s="131"/>
      <c r="AR13" s="131"/>
      <c r="AS13" s="131"/>
      <c r="AT13" s="131"/>
    </row>
    <row r="14" spans="1:46" x14ac:dyDescent="0.25">
      <c r="A14" s="16" t="s">
        <v>417</v>
      </c>
      <c r="B14" s="16" t="s">
        <v>424</v>
      </c>
      <c r="C14" s="16">
        <v>3258</v>
      </c>
      <c r="D14" s="16">
        <v>4925</v>
      </c>
      <c r="E14" s="16">
        <f t="shared" si="0"/>
        <v>-1667</v>
      </c>
      <c r="F14" s="131"/>
      <c r="G14" s="131"/>
      <c r="H14" s="131"/>
      <c r="I14" s="131"/>
      <c r="J14" s="131"/>
      <c r="K14" s="131"/>
      <c r="L14" s="131"/>
      <c r="M14" s="131"/>
      <c r="N14" s="131"/>
      <c r="O14" s="131"/>
      <c r="P14" s="131"/>
      <c r="Q14" s="131"/>
      <c r="R14" s="131"/>
      <c r="S14" s="131"/>
      <c r="T14" s="131"/>
      <c r="U14" s="131"/>
      <c r="V14" s="131"/>
      <c r="W14" s="131"/>
      <c r="X14" s="131"/>
      <c r="Y14" s="131"/>
      <c r="Z14" s="131"/>
      <c r="AA14" s="131"/>
      <c r="AB14" s="131"/>
      <c r="AC14" s="131"/>
      <c r="AD14" s="131"/>
      <c r="AE14" s="131"/>
      <c r="AF14" s="131"/>
      <c r="AG14" s="131"/>
      <c r="AH14" s="131"/>
      <c r="AI14" s="131"/>
      <c r="AJ14" s="131"/>
      <c r="AK14" s="131"/>
      <c r="AL14" s="131"/>
      <c r="AM14" s="131"/>
      <c r="AN14" s="131"/>
      <c r="AO14" s="131"/>
      <c r="AP14" s="131"/>
      <c r="AQ14" s="131"/>
      <c r="AR14" s="131"/>
      <c r="AS14" s="131"/>
      <c r="AT14" s="131"/>
    </row>
    <row r="15" spans="1:46" x14ac:dyDescent="0.25">
      <c r="A15" s="16" t="s">
        <v>418</v>
      </c>
      <c r="B15" s="16" t="s">
        <v>425</v>
      </c>
      <c r="C15" s="16">
        <v>2024</v>
      </c>
      <c r="D15" s="16">
        <v>4751</v>
      </c>
      <c r="E15" s="16">
        <f t="shared" si="0"/>
        <v>-2727</v>
      </c>
      <c r="F15" s="131"/>
      <c r="G15" s="131"/>
      <c r="H15" s="131">
        <f>COUNTIF(A2:A40,A14)</f>
        <v>9</v>
      </c>
      <c r="I15" s="131"/>
      <c r="J15" s="131"/>
      <c r="K15" s="131"/>
      <c r="L15" s="131"/>
      <c r="M15" s="131"/>
      <c r="N15" s="131"/>
      <c r="O15" s="131"/>
      <c r="P15" s="131"/>
      <c r="Q15" s="131"/>
      <c r="R15" s="131"/>
      <c r="S15" s="131"/>
      <c r="T15" s="131"/>
      <c r="U15" s="131"/>
      <c r="V15" s="131"/>
      <c r="W15" s="131"/>
      <c r="X15" s="131"/>
      <c r="Y15" s="131"/>
      <c r="Z15" s="131"/>
      <c r="AA15" s="131"/>
      <c r="AB15" s="131"/>
      <c r="AC15" s="131"/>
      <c r="AD15" s="131"/>
      <c r="AE15" s="131"/>
      <c r="AF15" s="131"/>
      <c r="AG15" s="131"/>
      <c r="AH15" s="131"/>
      <c r="AI15" s="131"/>
      <c r="AJ15" s="131"/>
      <c r="AK15" s="131"/>
      <c r="AL15" s="131"/>
      <c r="AM15" s="131"/>
      <c r="AN15" s="131"/>
      <c r="AO15" s="131"/>
      <c r="AP15" s="131"/>
      <c r="AQ15" s="131"/>
      <c r="AR15" s="131"/>
      <c r="AS15" s="131"/>
      <c r="AT15" s="131"/>
    </row>
    <row r="16" spans="1:46" x14ac:dyDescent="0.25">
      <c r="A16" s="16" t="s">
        <v>418</v>
      </c>
      <c r="B16" s="16" t="s">
        <v>425</v>
      </c>
      <c r="C16" s="16">
        <v>4962</v>
      </c>
      <c r="D16" s="16">
        <v>2780</v>
      </c>
      <c r="E16" s="16">
        <f t="shared" si="0"/>
        <v>2182</v>
      </c>
      <c r="F16" s="131"/>
      <c r="G16" s="131"/>
      <c r="H16" s="131">
        <f>COUNTIFS(A2:A40,A3,B2:B40,B3)</f>
        <v>4</v>
      </c>
      <c r="I16" s="131"/>
      <c r="J16" s="131"/>
      <c r="K16" s="131"/>
      <c r="L16" s="131"/>
      <c r="M16" s="131"/>
      <c r="N16" s="131"/>
      <c r="O16" s="131"/>
      <c r="P16" s="131"/>
      <c r="Q16" s="131"/>
      <c r="R16" s="131"/>
      <c r="S16" s="131"/>
      <c r="T16" s="131"/>
      <c r="U16" s="131"/>
      <c r="V16" s="131"/>
      <c r="W16" s="131"/>
      <c r="X16" s="131"/>
      <c r="Y16" s="131"/>
      <c r="Z16" s="131"/>
      <c r="AA16" s="131"/>
      <c r="AB16" s="131"/>
      <c r="AC16" s="131"/>
      <c r="AD16" s="131"/>
      <c r="AE16" s="131"/>
      <c r="AF16" s="131"/>
      <c r="AG16" s="131"/>
      <c r="AH16" s="131"/>
      <c r="AI16" s="131"/>
      <c r="AJ16" s="131"/>
      <c r="AK16" s="131"/>
      <c r="AL16" s="131"/>
      <c r="AM16" s="131"/>
      <c r="AN16" s="131"/>
      <c r="AO16" s="131"/>
      <c r="AP16" s="131"/>
      <c r="AQ16" s="131"/>
      <c r="AR16" s="131"/>
      <c r="AS16" s="131"/>
      <c r="AT16" s="131"/>
    </row>
    <row r="17" spans="1:46" x14ac:dyDescent="0.25">
      <c r="A17" s="16" t="s">
        <v>419</v>
      </c>
      <c r="B17" s="16" t="s">
        <v>423</v>
      </c>
      <c r="C17" s="16">
        <v>2719</v>
      </c>
      <c r="D17" s="16">
        <v>2049</v>
      </c>
      <c r="E17" s="16">
        <f t="shared" si="0"/>
        <v>670</v>
      </c>
      <c r="F17" s="131"/>
      <c r="G17" s="131"/>
      <c r="H17" s="131">
        <f>SUMIF(A2:A40,A7,E2:E40)</f>
        <v>-3648</v>
      </c>
      <c r="I17" s="131"/>
      <c r="J17" s="131"/>
      <c r="K17" s="131"/>
      <c r="L17" s="131"/>
      <c r="M17" s="131"/>
      <c r="N17" s="131"/>
      <c r="O17" s="131"/>
      <c r="P17" s="131"/>
      <c r="Q17" s="131"/>
      <c r="R17" s="131"/>
      <c r="S17" s="131"/>
      <c r="T17" s="131"/>
      <c r="U17" s="131"/>
      <c r="V17" s="131"/>
      <c r="W17" s="131"/>
      <c r="X17" s="131"/>
      <c r="Y17" s="131"/>
      <c r="Z17" s="131"/>
      <c r="AA17" s="131"/>
      <c r="AB17" s="131"/>
      <c r="AC17" s="131"/>
      <c r="AD17" s="131"/>
      <c r="AE17" s="131"/>
      <c r="AF17" s="131"/>
      <c r="AG17" s="131"/>
      <c r="AH17" s="131"/>
      <c r="AI17" s="131"/>
      <c r="AJ17" s="131"/>
      <c r="AK17" s="131"/>
      <c r="AL17" s="131"/>
      <c r="AM17" s="131"/>
      <c r="AN17" s="131"/>
      <c r="AO17" s="131"/>
      <c r="AP17" s="131"/>
      <c r="AQ17" s="131"/>
      <c r="AR17" s="131"/>
      <c r="AS17" s="131"/>
      <c r="AT17" s="131"/>
    </row>
    <row r="18" spans="1:46" x14ac:dyDescent="0.25">
      <c r="A18" s="16" t="s">
        <v>418</v>
      </c>
      <c r="B18" s="16" t="s">
        <v>423</v>
      </c>
      <c r="C18" s="16">
        <v>4912</v>
      </c>
      <c r="D18" s="16">
        <v>2418</v>
      </c>
      <c r="E18" s="16">
        <f t="shared" si="0"/>
        <v>2494</v>
      </c>
      <c r="F18" s="131"/>
      <c r="G18" s="131"/>
      <c r="H18" s="131">
        <f>SUMIFS(E2:E40,A2:A40,A7,B2:B40,B3)</f>
        <v>-1090</v>
      </c>
      <c r="I18" s="131"/>
      <c r="J18" s="131"/>
      <c r="K18" s="131"/>
      <c r="L18" s="131"/>
      <c r="M18" s="131"/>
      <c r="N18" s="131"/>
      <c r="O18" s="131"/>
      <c r="P18" s="131"/>
      <c r="Q18" s="131"/>
      <c r="R18" s="131"/>
      <c r="S18" s="131"/>
      <c r="T18" s="131"/>
      <c r="U18" s="131"/>
      <c r="V18" s="131"/>
      <c r="W18" s="131"/>
      <c r="X18" s="131"/>
      <c r="Y18" s="131"/>
      <c r="Z18" s="131"/>
      <c r="AA18" s="131"/>
      <c r="AB18" s="131"/>
      <c r="AC18" s="131"/>
      <c r="AD18" s="131"/>
      <c r="AE18" s="131"/>
      <c r="AF18" s="131"/>
      <c r="AG18" s="131"/>
      <c r="AH18" s="131"/>
      <c r="AI18" s="131"/>
      <c r="AJ18" s="131"/>
      <c r="AK18" s="131"/>
      <c r="AL18" s="131"/>
      <c r="AM18" s="131"/>
      <c r="AN18" s="131"/>
      <c r="AO18" s="131"/>
      <c r="AP18" s="131"/>
      <c r="AQ18" s="131"/>
      <c r="AR18" s="131"/>
      <c r="AS18" s="131"/>
      <c r="AT18" s="131"/>
    </row>
    <row r="19" spans="1:46" x14ac:dyDescent="0.25">
      <c r="A19" s="16" t="s">
        <v>418</v>
      </c>
      <c r="B19" s="16" t="s">
        <v>423</v>
      </c>
      <c r="C19" s="16">
        <v>3253</v>
      </c>
      <c r="D19" s="16">
        <v>2367</v>
      </c>
      <c r="E19" s="16">
        <f t="shared" si="0"/>
        <v>886</v>
      </c>
      <c r="F19" s="131"/>
      <c r="G19" s="131"/>
      <c r="I19" s="131"/>
      <c r="J19" s="131"/>
      <c r="K19" s="131"/>
      <c r="L19" s="131"/>
      <c r="M19" s="131"/>
      <c r="N19" s="131"/>
      <c r="O19" s="131"/>
      <c r="P19" s="131"/>
      <c r="Q19" s="131"/>
      <c r="R19" s="131"/>
      <c r="S19" s="131"/>
      <c r="T19" s="131"/>
      <c r="U19" s="131"/>
      <c r="V19" s="131"/>
      <c r="W19" s="131"/>
      <c r="X19" s="131"/>
      <c r="Y19" s="131"/>
      <c r="Z19" s="131"/>
      <c r="AA19" s="131"/>
      <c r="AB19" s="131"/>
      <c r="AC19" s="131"/>
      <c r="AD19" s="131"/>
      <c r="AE19" s="131"/>
      <c r="AF19" s="131"/>
      <c r="AG19" s="131"/>
      <c r="AH19" s="131"/>
      <c r="AI19" s="131"/>
      <c r="AJ19" s="131"/>
      <c r="AK19" s="131"/>
      <c r="AL19" s="131"/>
      <c r="AM19" s="131"/>
      <c r="AN19" s="131"/>
      <c r="AO19" s="131"/>
      <c r="AP19" s="131"/>
      <c r="AQ19" s="131"/>
      <c r="AR19" s="131"/>
      <c r="AS19" s="131"/>
      <c r="AT19" s="131"/>
    </row>
    <row r="20" spans="1:46" x14ac:dyDescent="0.25">
      <c r="A20" s="16" t="s">
        <v>419</v>
      </c>
      <c r="B20" s="16" t="s">
        <v>424</v>
      </c>
      <c r="C20" s="16">
        <v>3530</v>
      </c>
      <c r="D20" s="16">
        <v>3527</v>
      </c>
      <c r="E20" s="16">
        <f t="shared" si="0"/>
        <v>3</v>
      </c>
      <c r="F20" s="131"/>
      <c r="G20" s="131"/>
      <c r="H20" s="131"/>
      <c r="I20" s="131"/>
      <c r="J20" s="131"/>
      <c r="K20" s="131"/>
      <c r="L20" s="131"/>
      <c r="M20" s="131"/>
      <c r="N20" s="131"/>
      <c r="O20" s="131"/>
      <c r="P20" s="131"/>
      <c r="Q20" s="131"/>
      <c r="R20" s="131"/>
      <c r="S20" s="131"/>
      <c r="T20" s="131"/>
      <c r="U20" s="131"/>
      <c r="V20" s="131"/>
      <c r="W20" s="131"/>
      <c r="X20" s="131"/>
      <c r="Y20" s="131"/>
      <c r="Z20" s="131"/>
      <c r="AA20" s="131"/>
      <c r="AB20" s="131"/>
      <c r="AC20" s="131"/>
      <c r="AD20" s="131"/>
      <c r="AE20" s="131"/>
      <c r="AF20" s="131"/>
      <c r="AG20" s="131"/>
      <c r="AH20" s="131"/>
      <c r="AI20" s="131"/>
      <c r="AJ20" s="131"/>
      <c r="AK20" s="131"/>
      <c r="AL20" s="131"/>
      <c r="AM20" s="131"/>
      <c r="AN20" s="131"/>
      <c r="AO20" s="131"/>
      <c r="AP20" s="131"/>
      <c r="AQ20" s="131"/>
      <c r="AR20" s="131"/>
      <c r="AS20" s="131"/>
      <c r="AT20" s="131"/>
    </row>
    <row r="21" spans="1:46" x14ac:dyDescent="0.25">
      <c r="A21" s="16" t="s">
        <v>418</v>
      </c>
      <c r="B21" s="16" t="s">
        <v>425</v>
      </c>
      <c r="C21" s="16">
        <v>2990</v>
      </c>
      <c r="D21" s="16">
        <v>4749</v>
      </c>
      <c r="E21" s="16">
        <f t="shared" si="0"/>
        <v>-1759</v>
      </c>
      <c r="F21" s="131"/>
      <c r="G21" s="131"/>
      <c r="H21" s="131"/>
      <c r="I21" s="131"/>
      <c r="J21" s="131"/>
      <c r="K21" s="131"/>
      <c r="L21" s="131"/>
      <c r="M21" s="131"/>
      <c r="N21" s="131"/>
      <c r="O21" s="131"/>
      <c r="P21" s="131"/>
      <c r="Q21" s="131"/>
      <c r="R21" s="131"/>
      <c r="S21" s="131"/>
      <c r="T21" s="131"/>
      <c r="U21" s="131"/>
      <c r="V21" s="131"/>
      <c r="W21" s="131"/>
      <c r="X21" s="131"/>
      <c r="Y21" s="131"/>
      <c r="Z21" s="131"/>
      <c r="AA21" s="131"/>
      <c r="AB21" s="131"/>
      <c r="AC21" s="131"/>
      <c r="AD21" s="131"/>
      <c r="AE21" s="131"/>
      <c r="AF21" s="131"/>
      <c r="AG21" s="131"/>
      <c r="AH21" s="131"/>
      <c r="AI21" s="131"/>
      <c r="AJ21" s="131"/>
      <c r="AK21" s="131"/>
      <c r="AL21" s="131"/>
      <c r="AM21" s="131"/>
      <c r="AN21" s="131"/>
      <c r="AO21" s="131"/>
      <c r="AP21" s="131"/>
      <c r="AQ21" s="131"/>
      <c r="AR21" s="131"/>
      <c r="AS21" s="131"/>
      <c r="AT21" s="131"/>
    </row>
    <row r="22" spans="1:46" x14ac:dyDescent="0.25">
      <c r="A22" s="16" t="s">
        <v>418</v>
      </c>
      <c r="B22" s="16" t="s">
        <v>425</v>
      </c>
      <c r="C22" s="16">
        <v>4796</v>
      </c>
      <c r="D22" s="16">
        <v>2080</v>
      </c>
      <c r="E22" s="16">
        <f t="shared" si="0"/>
        <v>2716</v>
      </c>
      <c r="F22" s="131"/>
      <c r="G22" s="131"/>
      <c r="H22" s="131"/>
      <c r="I22" s="131"/>
      <c r="J22" s="131"/>
      <c r="K22" s="131"/>
      <c r="L22" s="131"/>
      <c r="M22" s="131"/>
      <c r="N22" s="131"/>
      <c r="O22" s="131"/>
      <c r="P22" s="131"/>
      <c r="Q22" s="131"/>
      <c r="R22" s="131"/>
      <c r="S22" s="131"/>
      <c r="T22" s="131"/>
      <c r="U22" s="131"/>
      <c r="V22" s="131"/>
      <c r="W22" s="131"/>
      <c r="X22" s="131"/>
      <c r="Y22" s="131"/>
      <c r="Z22" s="131"/>
      <c r="AA22" s="131"/>
      <c r="AB22" s="131"/>
      <c r="AC22" s="131"/>
      <c r="AD22" s="131"/>
      <c r="AE22" s="131"/>
      <c r="AF22" s="131"/>
      <c r="AG22" s="131"/>
      <c r="AH22" s="131"/>
      <c r="AI22" s="131"/>
      <c r="AJ22" s="131"/>
      <c r="AK22" s="131"/>
      <c r="AL22" s="131"/>
      <c r="AM22" s="131"/>
      <c r="AN22" s="131"/>
      <c r="AO22" s="131"/>
      <c r="AP22" s="131"/>
      <c r="AQ22" s="131"/>
      <c r="AR22" s="131"/>
      <c r="AS22" s="131"/>
      <c r="AT22" s="131"/>
    </row>
    <row r="23" spans="1:46" x14ac:dyDescent="0.25">
      <c r="A23" s="16" t="s">
        <v>417</v>
      </c>
      <c r="B23" s="16" t="s">
        <v>425</v>
      </c>
      <c r="C23" s="16">
        <v>2054</v>
      </c>
      <c r="D23" s="16">
        <v>3592</v>
      </c>
      <c r="E23" s="16">
        <f t="shared" si="0"/>
        <v>-1538</v>
      </c>
      <c r="F23" s="131"/>
      <c r="G23" s="131"/>
      <c r="H23" s="131"/>
      <c r="I23" s="131"/>
      <c r="J23" s="131"/>
      <c r="K23" s="131"/>
      <c r="L23" s="131"/>
      <c r="M23" s="131"/>
      <c r="N23" s="131"/>
      <c r="O23" s="131"/>
      <c r="P23" s="131"/>
      <c r="Q23" s="131"/>
      <c r="R23" s="131"/>
      <c r="S23" s="131"/>
      <c r="T23" s="131"/>
      <c r="U23" s="131"/>
      <c r="V23" s="131"/>
      <c r="W23" s="131"/>
      <c r="X23" s="131"/>
      <c r="Y23" s="131"/>
      <c r="Z23" s="131"/>
      <c r="AA23" s="131"/>
      <c r="AB23" s="131"/>
      <c r="AC23" s="131"/>
      <c r="AD23" s="131"/>
      <c r="AE23" s="131"/>
      <c r="AF23" s="131"/>
      <c r="AG23" s="131"/>
      <c r="AH23" s="131"/>
      <c r="AI23" s="131"/>
      <c r="AJ23" s="131"/>
      <c r="AK23" s="131"/>
      <c r="AL23" s="131"/>
      <c r="AM23" s="131"/>
      <c r="AN23" s="131"/>
      <c r="AO23" s="131"/>
      <c r="AP23" s="131"/>
      <c r="AQ23" s="131"/>
      <c r="AR23" s="131"/>
      <c r="AS23" s="131"/>
      <c r="AT23" s="131"/>
    </row>
    <row r="24" spans="1:46" x14ac:dyDescent="0.25">
      <c r="A24" s="16" t="s">
        <v>418</v>
      </c>
      <c r="B24" s="16" t="s">
        <v>424</v>
      </c>
      <c r="C24" s="16">
        <v>4476</v>
      </c>
      <c r="D24" s="16">
        <v>3719</v>
      </c>
      <c r="E24" s="16">
        <f t="shared" si="0"/>
        <v>757</v>
      </c>
      <c r="F24" s="131"/>
      <c r="G24" s="131"/>
      <c r="H24" s="131"/>
      <c r="I24" s="131"/>
      <c r="J24" s="131"/>
      <c r="K24" s="131"/>
      <c r="L24" s="131"/>
      <c r="M24" s="131"/>
      <c r="N24" s="131"/>
      <c r="O24" s="131"/>
      <c r="P24" s="131"/>
      <c r="Q24" s="131"/>
      <c r="R24" s="131"/>
      <c r="S24" s="131"/>
      <c r="T24" s="131"/>
      <c r="U24" s="131"/>
      <c r="V24" s="131"/>
      <c r="W24" s="131"/>
      <c r="X24" s="131"/>
      <c r="Y24" s="131"/>
      <c r="Z24" s="131"/>
      <c r="AA24" s="131"/>
      <c r="AB24" s="131"/>
      <c r="AC24" s="131"/>
      <c r="AD24" s="131"/>
      <c r="AE24" s="131"/>
      <c r="AF24" s="131"/>
      <c r="AG24" s="131"/>
      <c r="AH24" s="131"/>
      <c r="AI24" s="131"/>
      <c r="AJ24" s="131"/>
      <c r="AK24" s="131"/>
      <c r="AL24" s="131"/>
      <c r="AM24" s="131"/>
      <c r="AN24" s="131"/>
      <c r="AO24" s="131"/>
      <c r="AP24" s="131"/>
      <c r="AQ24" s="131"/>
      <c r="AR24" s="131"/>
      <c r="AS24" s="131"/>
      <c r="AT24" s="131"/>
    </row>
    <row r="25" spans="1:46" x14ac:dyDescent="0.25">
      <c r="A25" s="16" t="s">
        <v>418</v>
      </c>
      <c r="B25" s="16" t="s">
        <v>424</v>
      </c>
      <c r="C25" s="16">
        <v>4371</v>
      </c>
      <c r="D25" s="16">
        <v>2188</v>
      </c>
      <c r="E25" s="16">
        <f t="shared" si="0"/>
        <v>2183</v>
      </c>
      <c r="F25" s="131"/>
      <c r="G25" s="131"/>
      <c r="H25" s="131"/>
      <c r="I25" s="131"/>
      <c r="J25" s="131"/>
      <c r="K25" s="131"/>
      <c r="L25" s="131"/>
      <c r="M25" s="131"/>
      <c r="N25" s="131"/>
      <c r="O25" s="131"/>
      <c r="P25" s="131"/>
      <c r="Q25" s="131"/>
      <c r="R25" s="131"/>
      <c r="S25" s="131"/>
      <c r="T25" s="131"/>
      <c r="U25" s="131"/>
      <c r="V25" s="131"/>
      <c r="W25" s="131"/>
      <c r="X25" s="131"/>
      <c r="Y25" s="131"/>
      <c r="Z25" s="131"/>
      <c r="AA25" s="131"/>
      <c r="AB25" s="131"/>
      <c r="AC25" s="131"/>
      <c r="AD25" s="131"/>
      <c r="AE25" s="131"/>
      <c r="AF25" s="131"/>
      <c r="AG25" s="131"/>
      <c r="AH25" s="131"/>
      <c r="AI25" s="131"/>
      <c r="AJ25" s="131"/>
      <c r="AK25" s="131"/>
      <c r="AL25" s="131"/>
      <c r="AM25" s="131"/>
      <c r="AN25" s="131"/>
      <c r="AO25" s="131"/>
      <c r="AP25" s="131"/>
      <c r="AQ25" s="131"/>
      <c r="AR25" s="131"/>
      <c r="AS25" s="131"/>
      <c r="AT25" s="131"/>
    </row>
    <row r="26" spans="1:46" x14ac:dyDescent="0.25">
      <c r="A26" s="16" t="s">
        <v>418</v>
      </c>
      <c r="B26" s="16" t="s">
        <v>424</v>
      </c>
      <c r="C26" s="16">
        <v>2470</v>
      </c>
      <c r="D26" s="16">
        <v>4890</v>
      </c>
      <c r="E26" s="16">
        <f t="shared" si="0"/>
        <v>-2420</v>
      </c>
      <c r="F26" s="131"/>
      <c r="G26" s="131"/>
      <c r="H26" s="131"/>
      <c r="I26" s="131"/>
      <c r="J26" s="131"/>
      <c r="K26" s="131"/>
      <c r="L26" s="131"/>
      <c r="M26" s="131"/>
      <c r="N26" s="131"/>
      <c r="O26" s="131"/>
      <c r="P26" s="131"/>
      <c r="Q26" s="131"/>
      <c r="R26" s="131"/>
      <c r="S26" s="131"/>
      <c r="T26" s="131"/>
      <c r="U26" s="131"/>
      <c r="V26" s="131"/>
      <c r="W26" s="131"/>
      <c r="X26" s="131"/>
      <c r="Y26" s="131"/>
      <c r="Z26" s="131"/>
      <c r="AA26" s="131"/>
      <c r="AB26" s="131"/>
      <c r="AC26" s="131"/>
      <c r="AD26" s="131"/>
      <c r="AE26" s="131"/>
      <c r="AF26" s="131"/>
      <c r="AG26" s="131"/>
      <c r="AH26" s="131"/>
      <c r="AI26" s="131"/>
      <c r="AJ26" s="131"/>
      <c r="AK26" s="131"/>
      <c r="AL26" s="131"/>
      <c r="AM26" s="131"/>
      <c r="AN26" s="131"/>
      <c r="AO26" s="131"/>
      <c r="AP26" s="131"/>
      <c r="AQ26" s="131"/>
      <c r="AR26" s="131"/>
      <c r="AS26" s="131"/>
      <c r="AT26" s="131"/>
    </row>
    <row r="27" spans="1:46" x14ac:dyDescent="0.25">
      <c r="A27" s="16" t="s">
        <v>417</v>
      </c>
      <c r="B27" s="16" t="s">
        <v>424</v>
      </c>
      <c r="C27" s="16">
        <v>3300</v>
      </c>
      <c r="D27" s="16">
        <v>3028</v>
      </c>
      <c r="E27" s="16">
        <f t="shared" si="0"/>
        <v>272</v>
      </c>
      <c r="F27" s="131"/>
      <c r="G27" s="131"/>
      <c r="H27" s="131"/>
      <c r="I27" s="131"/>
      <c r="J27" s="131"/>
      <c r="K27" s="131"/>
      <c r="L27" s="131"/>
      <c r="M27" s="131"/>
      <c r="N27" s="131"/>
      <c r="O27" s="131"/>
      <c r="P27" s="131"/>
      <c r="Q27" s="131"/>
      <c r="R27" s="131"/>
      <c r="S27" s="131"/>
      <c r="T27" s="131"/>
      <c r="U27" s="131"/>
      <c r="V27" s="131"/>
      <c r="W27" s="131"/>
      <c r="X27" s="131"/>
      <c r="Y27" s="131"/>
      <c r="Z27" s="131"/>
      <c r="AA27" s="131"/>
      <c r="AB27" s="131"/>
      <c r="AC27" s="131"/>
      <c r="AD27" s="131"/>
      <c r="AE27" s="131"/>
      <c r="AF27" s="131"/>
      <c r="AG27" s="131"/>
      <c r="AH27" s="131"/>
      <c r="AI27" s="131"/>
      <c r="AJ27" s="131"/>
      <c r="AK27" s="131"/>
      <c r="AL27" s="131"/>
      <c r="AM27" s="131"/>
      <c r="AN27" s="131"/>
      <c r="AO27" s="131"/>
      <c r="AP27" s="131"/>
      <c r="AQ27" s="131"/>
      <c r="AR27" s="131"/>
      <c r="AS27" s="131"/>
      <c r="AT27" s="131"/>
    </row>
    <row r="28" spans="1:46" x14ac:dyDescent="0.25">
      <c r="A28" s="16" t="s">
        <v>418</v>
      </c>
      <c r="B28" s="16" t="s">
        <v>425</v>
      </c>
      <c r="C28" s="16">
        <v>3819</v>
      </c>
      <c r="D28" s="16">
        <v>4604</v>
      </c>
      <c r="E28" s="16">
        <f t="shared" si="0"/>
        <v>-785</v>
      </c>
      <c r="F28" s="131"/>
      <c r="G28" s="131"/>
      <c r="H28" s="131"/>
      <c r="I28" s="131"/>
      <c r="J28" s="131"/>
      <c r="K28" s="131"/>
      <c r="L28" s="131"/>
      <c r="M28" s="131"/>
      <c r="N28" s="131"/>
      <c r="O28" s="131"/>
      <c r="P28" s="131"/>
      <c r="Q28" s="131"/>
      <c r="R28" s="131"/>
      <c r="S28" s="131"/>
      <c r="T28" s="131"/>
      <c r="U28" s="131"/>
      <c r="V28" s="131"/>
      <c r="W28" s="131"/>
      <c r="X28" s="131"/>
      <c r="Y28" s="131"/>
      <c r="Z28" s="131"/>
      <c r="AA28" s="131"/>
      <c r="AB28" s="131"/>
      <c r="AC28" s="131"/>
      <c r="AD28" s="131"/>
      <c r="AE28" s="131"/>
      <c r="AF28" s="131"/>
      <c r="AG28" s="131"/>
      <c r="AH28" s="131"/>
      <c r="AI28" s="131"/>
      <c r="AJ28" s="131"/>
      <c r="AK28" s="131"/>
      <c r="AL28" s="131"/>
      <c r="AM28" s="131"/>
      <c r="AN28" s="131"/>
      <c r="AO28" s="131"/>
      <c r="AP28" s="131"/>
      <c r="AQ28" s="131"/>
      <c r="AR28" s="131"/>
      <c r="AS28" s="131"/>
      <c r="AT28" s="131"/>
    </row>
    <row r="29" spans="1:46" x14ac:dyDescent="0.25">
      <c r="A29" s="16" t="s">
        <v>418</v>
      </c>
      <c r="B29" s="16" t="s">
        <v>424</v>
      </c>
      <c r="C29" s="16">
        <v>4806</v>
      </c>
      <c r="D29" s="16">
        <v>2760</v>
      </c>
      <c r="E29" s="16">
        <f t="shared" si="0"/>
        <v>2046</v>
      </c>
      <c r="F29" s="131"/>
      <c r="G29" s="131"/>
      <c r="H29" s="131"/>
      <c r="I29" s="131"/>
      <c r="J29" s="131"/>
      <c r="K29" s="131"/>
      <c r="L29" s="131"/>
      <c r="M29" s="131"/>
      <c r="N29" s="131"/>
      <c r="O29" s="131"/>
      <c r="P29" s="131"/>
      <c r="Q29" s="131"/>
      <c r="R29" s="131"/>
      <c r="S29" s="131"/>
      <c r="T29" s="131"/>
      <c r="U29" s="131"/>
      <c r="V29" s="131"/>
      <c r="W29" s="131"/>
      <c r="X29" s="131"/>
      <c r="Y29" s="131"/>
      <c r="Z29" s="131"/>
      <c r="AA29" s="131"/>
      <c r="AB29" s="131"/>
      <c r="AC29" s="131"/>
      <c r="AD29" s="131"/>
      <c r="AE29" s="131"/>
      <c r="AF29" s="131"/>
      <c r="AG29" s="131"/>
      <c r="AH29" s="131"/>
      <c r="AI29" s="131"/>
      <c r="AJ29" s="131"/>
      <c r="AK29" s="131"/>
      <c r="AL29" s="131"/>
      <c r="AM29" s="131"/>
      <c r="AN29" s="131"/>
      <c r="AO29" s="131"/>
      <c r="AP29" s="131"/>
      <c r="AQ29" s="131"/>
      <c r="AR29" s="131"/>
      <c r="AS29" s="131"/>
      <c r="AT29" s="131"/>
    </row>
    <row r="30" spans="1:46" x14ac:dyDescent="0.25">
      <c r="A30" s="16" t="s">
        <v>421</v>
      </c>
      <c r="B30" s="16" t="s">
        <v>424</v>
      </c>
      <c r="C30" s="16">
        <v>2722</v>
      </c>
      <c r="D30" s="16">
        <v>4474</v>
      </c>
      <c r="E30" s="16">
        <f t="shared" si="0"/>
        <v>-1752</v>
      </c>
      <c r="F30" s="131"/>
      <c r="G30" s="131"/>
      <c r="H30" s="131"/>
      <c r="I30" s="131"/>
      <c r="J30" s="131"/>
      <c r="K30" s="131"/>
      <c r="L30" s="131"/>
      <c r="M30" s="131"/>
      <c r="N30" s="131"/>
      <c r="O30" s="131"/>
      <c r="P30" s="131"/>
      <c r="Q30" s="131"/>
      <c r="R30" s="131"/>
      <c r="S30" s="131"/>
      <c r="T30" s="131"/>
      <c r="U30" s="131"/>
      <c r="V30" s="131"/>
      <c r="W30" s="131"/>
      <c r="X30" s="131"/>
      <c r="Y30" s="131"/>
      <c r="Z30" s="131"/>
      <c r="AA30" s="131"/>
      <c r="AB30" s="131"/>
      <c r="AC30" s="131"/>
      <c r="AD30" s="131"/>
      <c r="AE30" s="131"/>
      <c r="AF30" s="131"/>
      <c r="AG30" s="131"/>
      <c r="AH30" s="131"/>
      <c r="AI30" s="131"/>
      <c r="AJ30" s="131"/>
      <c r="AK30" s="131"/>
      <c r="AL30" s="131"/>
      <c r="AM30" s="131"/>
      <c r="AN30" s="131"/>
      <c r="AO30" s="131"/>
      <c r="AP30" s="131"/>
      <c r="AQ30" s="131"/>
      <c r="AR30" s="131"/>
      <c r="AS30" s="131"/>
      <c r="AT30" s="131"/>
    </row>
    <row r="31" spans="1:46" x14ac:dyDescent="0.25">
      <c r="A31" s="16" t="s">
        <v>421</v>
      </c>
      <c r="B31" s="16" t="s">
        <v>425</v>
      </c>
      <c r="C31" s="16">
        <v>3117</v>
      </c>
      <c r="D31" s="16">
        <v>4888</v>
      </c>
      <c r="E31" s="16">
        <f t="shared" si="0"/>
        <v>-1771</v>
      </c>
      <c r="F31" s="131"/>
      <c r="G31" s="131"/>
      <c r="H31" s="131"/>
      <c r="I31" s="131"/>
      <c r="J31" s="131"/>
      <c r="K31" s="131"/>
      <c r="L31" s="131"/>
      <c r="M31" s="131"/>
      <c r="N31" s="131"/>
      <c r="O31" s="131"/>
      <c r="P31" s="131"/>
      <c r="Q31" s="131"/>
      <c r="R31" s="131"/>
      <c r="S31" s="131"/>
      <c r="T31" s="131"/>
      <c r="U31" s="131"/>
      <c r="V31" s="131"/>
      <c r="W31" s="131"/>
      <c r="X31" s="131"/>
      <c r="Y31" s="131"/>
      <c r="Z31" s="131"/>
      <c r="AA31" s="131"/>
      <c r="AB31" s="131"/>
      <c r="AC31" s="131"/>
      <c r="AD31" s="131"/>
      <c r="AE31" s="131"/>
      <c r="AF31" s="131"/>
      <c r="AG31" s="131"/>
      <c r="AH31" s="131"/>
      <c r="AI31" s="131"/>
      <c r="AJ31" s="131"/>
      <c r="AK31" s="131"/>
      <c r="AL31" s="131"/>
      <c r="AM31" s="131"/>
      <c r="AN31" s="131"/>
      <c r="AO31" s="131"/>
      <c r="AP31" s="131"/>
      <c r="AQ31" s="131"/>
      <c r="AR31" s="131"/>
      <c r="AS31" s="131"/>
      <c r="AT31" s="131"/>
    </row>
    <row r="32" spans="1:46" x14ac:dyDescent="0.25">
      <c r="A32" s="16" t="s">
        <v>421</v>
      </c>
      <c r="B32" s="16" t="s">
        <v>425</v>
      </c>
      <c r="C32" s="16">
        <v>4472</v>
      </c>
      <c r="D32" s="16">
        <v>3721</v>
      </c>
      <c r="E32" s="16">
        <f t="shared" si="0"/>
        <v>751</v>
      </c>
      <c r="F32" s="131"/>
      <c r="G32" s="131"/>
      <c r="H32" s="131"/>
      <c r="I32" s="131"/>
      <c r="J32" s="131"/>
      <c r="K32" s="131"/>
      <c r="L32" s="131"/>
      <c r="M32" s="131"/>
      <c r="N32" s="131"/>
      <c r="O32" s="131"/>
      <c r="P32" s="131"/>
      <c r="Q32" s="131"/>
      <c r="R32" s="131"/>
      <c r="S32" s="131"/>
      <c r="T32" s="131"/>
      <c r="U32" s="131"/>
      <c r="V32" s="131"/>
      <c r="W32" s="131"/>
      <c r="X32" s="131"/>
      <c r="Y32" s="131"/>
      <c r="Z32" s="131"/>
      <c r="AA32" s="131"/>
      <c r="AB32" s="131"/>
      <c r="AC32" s="131"/>
      <c r="AD32" s="131"/>
      <c r="AE32" s="131"/>
      <c r="AF32" s="131"/>
      <c r="AG32" s="131"/>
      <c r="AH32" s="131"/>
      <c r="AI32" s="131"/>
      <c r="AJ32" s="131"/>
      <c r="AK32" s="131"/>
      <c r="AL32" s="131"/>
      <c r="AM32" s="131"/>
      <c r="AN32" s="131"/>
      <c r="AO32" s="131"/>
      <c r="AP32" s="131"/>
      <c r="AQ32" s="131"/>
      <c r="AR32" s="131"/>
      <c r="AS32" s="131"/>
      <c r="AT32" s="131"/>
    </row>
    <row r="33" spans="1:46" x14ac:dyDescent="0.25">
      <c r="A33" s="16" t="s">
        <v>421</v>
      </c>
      <c r="B33" s="16" t="s">
        <v>423</v>
      </c>
      <c r="C33" s="16">
        <v>2906</v>
      </c>
      <c r="D33" s="16">
        <v>2814</v>
      </c>
      <c r="E33" s="16">
        <f t="shared" si="0"/>
        <v>92</v>
      </c>
      <c r="F33" s="131"/>
      <c r="G33" s="131"/>
      <c r="H33" s="131"/>
      <c r="I33" s="131"/>
      <c r="J33" s="131"/>
      <c r="K33" s="131"/>
      <c r="L33" s="131"/>
      <c r="M33" s="131"/>
      <c r="N33" s="131"/>
      <c r="O33" s="131"/>
      <c r="P33" s="131"/>
      <c r="Q33" s="131"/>
      <c r="R33" s="131"/>
      <c r="S33" s="131"/>
      <c r="T33" s="131"/>
      <c r="U33" s="131"/>
      <c r="V33" s="131"/>
      <c r="W33" s="131"/>
      <c r="X33" s="131"/>
      <c r="Y33" s="131"/>
      <c r="Z33" s="131"/>
      <c r="AA33" s="131"/>
      <c r="AB33" s="131"/>
      <c r="AC33" s="131"/>
      <c r="AD33" s="131"/>
      <c r="AE33" s="131"/>
      <c r="AF33" s="131"/>
      <c r="AG33" s="131"/>
      <c r="AH33" s="131"/>
      <c r="AI33" s="131"/>
      <c r="AJ33" s="131"/>
      <c r="AK33" s="131"/>
      <c r="AL33" s="131"/>
      <c r="AM33" s="131"/>
      <c r="AN33" s="131"/>
      <c r="AO33" s="131"/>
      <c r="AP33" s="131"/>
      <c r="AQ33" s="131"/>
      <c r="AR33" s="131"/>
      <c r="AS33" s="131"/>
      <c r="AT33" s="131"/>
    </row>
    <row r="34" spans="1:46" x14ac:dyDescent="0.25">
      <c r="A34" s="16" t="s">
        <v>417</v>
      </c>
      <c r="B34" s="16" t="s">
        <v>423</v>
      </c>
      <c r="C34" s="16">
        <v>2520</v>
      </c>
      <c r="D34" s="16">
        <v>3291</v>
      </c>
      <c r="E34" s="16">
        <f t="shared" si="0"/>
        <v>-771</v>
      </c>
      <c r="F34" s="131"/>
      <c r="G34" s="131"/>
      <c r="H34" s="131"/>
      <c r="I34" s="131"/>
      <c r="J34" s="131"/>
      <c r="K34" s="131"/>
      <c r="L34" s="131"/>
      <c r="M34" s="131"/>
      <c r="N34" s="131"/>
      <c r="O34" s="131"/>
      <c r="P34" s="131"/>
      <c r="Q34" s="131"/>
      <c r="R34" s="131"/>
      <c r="S34" s="131"/>
      <c r="T34" s="131"/>
      <c r="U34" s="131"/>
      <c r="V34" s="131"/>
      <c r="W34" s="131"/>
      <c r="X34" s="131"/>
      <c r="Y34" s="131"/>
      <c r="Z34" s="131"/>
      <c r="AA34" s="131"/>
      <c r="AB34" s="131"/>
      <c r="AC34" s="131"/>
      <c r="AD34" s="131"/>
      <c r="AE34" s="131"/>
      <c r="AF34" s="131"/>
      <c r="AG34" s="131"/>
      <c r="AH34" s="131"/>
      <c r="AI34" s="131"/>
      <c r="AJ34" s="131"/>
      <c r="AK34" s="131"/>
      <c r="AL34" s="131"/>
      <c r="AM34" s="131"/>
      <c r="AN34" s="131"/>
      <c r="AO34" s="131"/>
      <c r="AP34" s="131"/>
      <c r="AQ34" s="131"/>
      <c r="AR34" s="131"/>
      <c r="AS34" s="131"/>
      <c r="AT34" s="131"/>
    </row>
    <row r="35" spans="1:46" x14ac:dyDescent="0.25">
      <c r="A35" s="16" t="s">
        <v>421</v>
      </c>
      <c r="B35" s="16" t="s">
        <v>423</v>
      </c>
      <c r="C35" s="16">
        <v>3119</v>
      </c>
      <c r="D35" s="16">
        <v>2602</v>
      </c>
      <c r="E35" s="16">
        <f t="shared" si="0"/>
        <v>517</v>
      </c>
      <c r="F35" s="131"/>
      <c r="G35" s="131"/>
      <c r="H35" s="131"/>
      <c r="I35" s="131"/>
      <c r="J35" s="131"/>
      <c r="K35" s="131"/>
      <c r="L35" s="131"/>
      <c r="M35" s="131"/>
      <c r="N35" s="131"/>
      <c r="O35" s="131"/>
      <c r="P35" s="131"/>
      <c r="Q35" s="131"/>
      <c r="R35" s="131"/>
      <c r="S35" s="131"/>
      <c r="T35" s="131"/>
      <c r="U35" s="131"/>
      <c r="V35" s="131"/>
      <c r="W35" s="131"/>
      <c r="X35" s="131"/>
      <c r="Y35" s="131"/>
      <c r="Z35" s="131"/>
      <c r="AA35" s="131"/>
      <c r="AB35" s="131"/>
      <c r="AC35" s="131"/>
      <c r="AD35" s="131"/>
      <c r="AE35" s="131"/>
      <c r="AF35" s="131"/>
      <c r="AG35" s="131"/>
      <c r="AH35" s="131"/>
      <c r="AI35" s="131"/>
      <c r="AJ35" s="131"/>
      <c r="AK35" s="131"/>
      <c r="AL35" s="131"/>
      <c r="AM35" s="131"/>
      <c r="AN35" s="131"/>
      <c r="AO35" s="131"/>
      <c r="AP35" s="131"/>
      <c r="AQ35" s="131"/>
      <c r="AR35" s="131"/>
      <c r="AS35" s="131"/>
      <c r="AT35" s="131"/>
    </row>
    <row r="36" spans="1:46" x14ac:dyDescent="0.25">
      <c r="A36" s="16" t="s">
        <v>422</v>
      </c>
      <c r="B36" s="16" t="s">
        <v>424</v>
      </c>
      <c r="C36" s="16">
        <v>4676</v>
      </c>
      <c r="D36" s="16">
        <v>2005</v>
      </c>
      <c r="E36" s="16">
        <f t="shared" si="0"/>
        <v>2671</v>
      </c>
      <c r="F36" s="131"/>
      <c r="G36" s="131"/>
      <c r="H36" s="131"/>
      <c r="I36" s="131"/>
      <c r="J36" s="131"/>
      <c r="K36" s="131"/>
      <c r="L36" s="131"/>
      <c r="M36" s="131"/>
      <c r="N36" s="131"/>
      <c r="O36" s="131"/>
      <c r="P36" s="131"/>
      <c r="Q36" s="131"/>
      <c r="R36" s="131"/>
      <c r="S36" s="131"/>
      <c r="T36" s="131"/>
      <c r="U36" s="131"/>
      <c r="V36" s="131"/>
      <c r="W36" s="131"/>
    </row>
    <row r="37" spans="1:46" x14ac:dyDescent="0.25">
      <c r="A37" s="16" t="s">
        <v>422</v>
      </c>
      <c r="B37" s="16" t="s">
        <v>425</v>
      </c>
      <c r="C37" s="16">
        <v>4032</v>
      </c>
      <c r="D37" s="16">
        <v>3421</v>
      </c>
      <c r="E37" s="16">
        <f t="shared" si="0"/>
        <v>611</v>
      </c>
      <c r="F37" s="131"/>
      <c r="G37" s="131"/>
      <c r="H37" s="131"/>
      <c r="I37" s="131"/>
      <c r="J37" s="131"/>
      <c r="K37" s="131"/>
      <c r="L37" s="131"/>
      <c r="M37" s="131"/>
      <c r="N37" s="131"/>
      <c r="O37" s="131"/>
      <c r="P37" s="131"/>
      <c r="Q37" s="131"/>
      <c r="R37" s="131"/>
      <c r="S37" s="131"/>
      <c r="T37" s="131"/>
      <c r="U37" s="131"/>
      <c r="V37" s="131"/>
      <c r="W37" s="131"/>
    </row>
    <row r="38" spans="1:46" x14ac:dyDescent="0.25">
      <c r="A38" s="16" t="s">
        <v>422</v>
      </c>
      <c r="B38" s="16" t="s">
        <v>425</v>
      </c>
      <c r="C38" s="16">
        <v>4338</v>
      </c>
      <c r="D38" s="16">
        <v>4462</v>
      </c>
      <c r="E38" s="16">
        <f t="shared" si="0"/>
        <v>-124</v>
      </c>
      <c r="F38" s="131"/>
      <c r="G38" s="131"/>
      <c r="H38" s="131"/>
      <c r="I38" s="131"/>
      <c r="J38" s="131"/>
      <c r="K38" s="131"/>
      <c r="L38" s="131"/>
      <c r="M38" s="131"/>
      <c r="N38" s="131"/>
      <c r="O38" s="131"/>
      <c r="P38" s="131"/>
      <c r="Q38" s="131"/>
      <c r="R38" s="131"/>
      <c r="S38" s="131"/>
      <c r="T38" s="131"/>
      <c r="U38" s="131"/>
      <c r="V38" s="131"/>
      <c r="W38" s="131"/>
    </row>
    <row r="39" spans="1:46" x14ac:dyDescent="0.25">
      <c r="A39" s="16" t="s">
        <v>417</v>
      </c>
      <c r="B39" s="16" t="s">
        <v>423</v>
      </c>
      <c r="C39" s="16">
        <v>4169</v>
      </c>
      <c r="D39" s="16">
        <v>4946</v>
      </c>
      <c r="E39" s="16">
        <f t="shared" si="0"/>
        <v>-777</v>
      </c>
      <c r="F39" s="131"/>
      <c r="G39" s="131"/>
      <c r="H39" s="131"/>
      <c r="I39" s="131"/>
      <c r="J39" s="131"/>
      <c r="K39" s="131"/>
      <c r="L39" s="131"/>
      <c r="M39" s="131"/>
      <c r="N39" s="131"/>
      <c r="O39" s="131"/>
      <c r="P39" s="131"/>
      <c r="Q39" s="131"/>
      <c r="R39" s="131"/>
      <c r="S39" s="131"/>
      <c r="T39" s="131"/>
      <c r="U39" s="131"/>
      <c r="V39" s="131"/>
      <c r="W39" s="131"/>
    </row>
    <row r="40" spans="1:46" x14ac:dyDescent="0.25">
      <c r="A40" s="16" t="s">
        <v>418</v>
      </c>
      <c r="B40" s="16" t="s">
        <v>423</v>
      </c>
      <c r="C40" s="16">
        <v>3147</v>
      </c>
      <c r="D40" s="16">
        <v>4600</v>
      </c>
      <c r="E40" s="16">
        <f t="shared" si="0"/>
        <v>-1453</v>
      </c>
      <c r="F40" s="131"/>
      <c r="G40" s="131"/>
      <c r="H40" s="131"/>
      <c r="I40" s="131"/>
      <c r="J40" s="131"/>
      <c r="K40" s="131"/>
      <c r="L40" s="131"/>
      <c r="M40" s="131"/>
      <c r="N40" s="131"/>
      <c r="O40" s="131"/>
      <c r="P40" s="131"/>
      <c r="Q40" s="131"/>
      <c r="R40" s="131"/>
      <c r="S40" s="131"/>
      <c r="T40" s="131"/>
      <c r="U40" s="131"/>
      <c r="V40" s="131"/>
      <c r="W40" s="131"/>
    </row>
    <row r="41" spans="1:46" x14ac:dyDescent="0.25">
      <c r="A41" s="131"/>
      <c r="B41" s="131"/>
      <c r="C41" s="131"/>
      <c r="D41" s="131"/>
      <c r="E41" s="131"/>
      <c r="F41" s="131"/>
      <c r="G41" s="131"/>
      <c r="H41" s="131"/>
      <c r="I41" s="131"/>
      <c r="J41" s="131"/>
      <c r="K41" s="131"/>
      <c r="L41" s="131"/>
      <c r="M41" s="131"/>
      <c r="N41" s="131"/>
      <c r="O41" s="131"/>
      <c r="P41" s="131"/>
      <c r="Q41" s="131"/>
      <c r="R41" s="131"/>
      <c r="S41" s="131"/>
      <c r="T41" s="131"/>
      <c r="U41" s="131"/>
      <c r="V41" s="131"/>
      <c r="W41" s="131"/>
    </row>
    <row r="42" spans="1:46" x14ac:dyDescent="0.25">
      <c r="A42" s="131"/>
      <c r="B42" s="131"/>
      <c r="C42" s="131"/>
      <c r="D42" s="131"/>
      <c r="E42" s="131"/>
      <c r="F42" s="131"/>
      <c r="G42" s="131"/>
      <c r="H42" s="131"/>
      <c r="I42" s="131"/>
      <c r="J42" s="131"/>
      <c r="K42" s="131"/>
      <c r="L42" s="131"/>
      <c r="M42" s="131"/>
      <c r="N42" s="131"/>
      <c r="O42" s="131"/>
      <c r="P42" s="131"/>
      <c r="Q42" s="131"/>
      <c r="R42" s="131"/>
      <c r="S42" s="131"/>
      <c r="T42" s="131"/>
      <c r="U42" s="131"/>
      <c r="V42" s="131"/>
      <c r="W42" s="131"/>
    </row>
    <row r="43" spans="1:46" x14ac:dyDescent="0.25">
      <c r="A43" s="131"/>
      <c r="B43" s="131"/>
      <c r="C43" s="131"/>
      <c r="D43" s="131"/>
      <c r="E43" s="131"/>
      <c r="F43" s="131"/>
      <c r="G43" s="131"/>
      <c r="H43" s="131"/>
      <c r="I43" s="131"/>
      <c r="J43" s="131"/>
      <c r="K43" s="131"/>
      <c r="L43" s="131"/>
      <c r="M43" s="131"/>
      <c r="N43" s="131"/>
      <c r="O43" s="131"/>
      <c r="P43" s="131"/>
      <c r="Q43" s="131"/>
      <c r="R43" s="131"/>
      <c r="S43" s="131"/>
      <c r="T43" s="131"/>
      <c r="U43" s="131"/>
      <c r="V43" s="131"/>
      <c r="W43" s="131"/>
    </row>
    <row r="44" spans="1:46" x14ac:dyDescent="0.25">
      <c r="A44" s="131"/>
      <c r="B44" s="131"/>
      <c r="C44" s="131"/>
      <c r="D44" s="131"/>
      <c r="E44" s="131"/>
      <c r="F44" s="131"/>
      <c r="G44" s="131"/>
      <c r="H44" s="131"/>
      <c r="I44" s="131"/>
      <c r="J44" s="131"/>
      <c r="K44" s="131"/>
      <c r="L44" s="131"/>
      <c r="M44" s="131"/>
      <c r="N44" s="131"/>
      <c r="O44" s="131"/>
      <c r="P44" s="131"/>
      <c r="Q44" s="131"/>
      <c r="R44" s="131"/>
      <c r="S44" s="131"/>
      <c r="T44" s="131"/>
      <c r="U44" s="131"/>
      <c r="V44" s="131"/>
      <c r="W44" s="131"/>
    </row>
    <row r="45" spans="1:46" x14ac:dyDescent="0.25">
      <c r="A45" s="131"/>
      <c r="B45" s="131"/>
      <c r="C45" s="131"/>
      <c r="D45" s="131"/>
      <c r="E45" s="131"/>
      <c r="F45" s="131"/>
      <c r="G45" s="131"/>
      <c r="H45" s="131"/>
      <c r="I45" s="131"/>
      <c r="J45" s="131"/>
      <c r="K45" s="131"/>
      <c r="L45" s="131"/>
      <c r="M45" s="131"/>
      <c r="N45" s="131"/>
      <c r="O45" s="131"/>
      <c r="P45" s="131"/>
      <c r="Q45" s="131"/>
      <c r="R45" s="131"/>
      <c r="S45" s="131"/>
      <c r="T45" s="131"/>
      <c r="U45" s="131"/>
      <c r="V45" s="131"/>
      <c r="W45" s="131"/>
    </row>
    <row r="46" spans="1:46" x14ac:dyDescent="0.25">
      <c r="A46" s="131"/>
      <c r="B46" s="131"/>
      <c r="C46" s="131"/>
      <c r="D46" s="131"/>
      <c r="E46" s="131"/>
      <c r="F46" s="131"/>
      <c r="G46" s="131"/>
      <c r="H46" s="131"/>
      <c r="I46" s="131"/>
      <c r="J46" s="131"/>
      <c r="K46" s="131"/>
      <c r="L46" s="131"/>
      <c r="M46" s="131"/>
      <c r="N46" s="131"/>
      <c r="O46" s="131"/>
      <c r="P46" s="131"/>
      <c r="Q46" s="131"/>
      <c r="R46" s="131"/>
      <c r="S46" s="131"/>
      <c r="T46" s="131"/>
      <c r="U46" s="131"/>
      <c r="V46" s="131"/>
      <c r="W46" s="131"/>
    </row>
    <row r="47" spans="1:46" x14ac:dyDescent="0.25">
      <c r="A47" s="131"/>
      <c r="B47" s="131"/>
      <c r="C47" s="131"/>
      <c r="D47" s="131"/>
      <c r="E47" s="131"/>
      <c r="F47" s="131"/>
      <c r="G47" s="131"/>
      <c r="H47" s="131"/>
      <c r="I47" s="131"/>
      <c r="J47" s="131"/>
      <c r="K47" s="131"/>
      <c r="L47" s="131"/>
      <c r="M47" s="131"/>
      <c r="N47" s="131"/>
      <c r="O47" s="131"/>
      <c r="P47" s="131"/>
      <c r="Q47" s="131"/>
      <c r="R47" s="131"/>
      <c r="S47" s="131"/>
      <c r="T47" s="131"/>
      <c r="U47" s="131"/>
      <c r="V47" s="131"/>
      <c r="W47" s="131"/>
    </row>
    <row r="48" spans="1:46" x14ac:dyDescent="0.25">
      <c r="A48" s="131"/>
      <c r="B48" s="131"/>
      <c r="C48" s="131"/>
      <c r="D48" s="131"/>
      <c r="E48" s="131"/>
      <c r="F48" s="131"/>
      <c r="G48" s="131"/>
      <c r="H48" s="131"/>
      <c r="I48" s="131"/>
      <c r="J48" s="131"/>
      <c r="K48" s="131"/>
      <c r="L48" s="131"/>
      <c r="M48" s="131"/>
      <c r="N48" s="131"/>
      <c r="O48" s="131"/>
      <c r="P48" s="131"/>
      <c r="Q48" s="131"/>
      <c r="R48" s="131"/>
      <c r="S48" s="131"/>
      <c r="T48" s="131"/>
      <c r="U48" s="131"/>
      <c r="V48" s="131"/>
      <c r="W48" s="131"/>
    </row>
    <row r="49" spans="1:23" x14ac:dyDescent="0.25">
      <c r="A49" s="131"/>
      <c r="B49" s="131"/>
      <c r="C49" s="131"/>
      <c r="D49" s="131"/>
      <c r="E49" s="131"/>
      <c r="F49" s="131"/>
      <c r="G49" s="131"/>
      <c r="H49" s="131"/>
      <c r="I49" s="131"/>
      <c r="J49" s="131"/>
      <c r="K49" s="131"/>
      <c r="L49" s="131"/>
      <c r="M49" s="131"/>
      <c r="N49" s="131"/>
      <c r="O49" s="131"/>
      <c r="P49" s="131"/>
      <c r="Q49" s="131"/>
      <c r="R49" s="131"/>
      <c r="S49" s="131"/>
      <c r="T49" s="131"/>
      <c r="U49" s="131"/>
      <c r="V49" s="131"/>
      <c r="W49" s="131"/>
    </row>
    <row r="50" spans="1:23" x14ac:dyDescent="0.25">
      <c r="A50" s="131"/>
      <c r="B50" s="131"/>
      <c r="C50" s="131"/>
      <c r="D50" s="131"/>
      <c r="E50" s="131"/>
      <c r="F50" s="131"/>
      <c r="G50" s="131"/>
      <c r="H50" s="131"/>
      <c r="I50" s="131"/>
      <c r="J50" s="131"/>
      <c r="K50" s="131"/>
      <c r="L50" s="131"/>
      <c r="M50" s="131"/>
      <c r="N50" s="131"/>
      <c r="O50" s="131"/>
      <c r="P50" s="131"/>
      <c r="Q50" s="131"/>
      <c r="R50" s="131"/>
      <c r="S50" s="131"/>
      <c r="T50" s="131"/>
      <c r="U50" s="131"/>
      <c r="V50" s="131"/>
      <c r="W50" s="131"/>
    </row>
    <row r="51" spans="1:23" x14ac:dyDescent="0.25">
      <c r="A51" s="131"/>
      <c r="B51" s="131"/>
      <c r="C51" s="131"/>
      <c r="D51" s="131"/>
      <c r="E51" s="131"/>
      <c r="F51" s="131"/>
      <c r="G51" s="131"/>
      <c r="H51" s="131"/>
      <c r="I51" s="131"/>
      <c r="J51" s="131"/>
      <c r="K51" s="131"/>
      <c r="L51" s="131"/>
      <c r="M51" s="131"/>
      <c r="N51" s="131"/>
      <c r="O51" s="131"/>
      <c r="P51" s="131"/>
      <c r="Q51" s="131"/>
      <c r="R51" s="131"/>
      <c r="S51" s="131"/>
      <c r="T51" s="131"/>
      <c r="U51" s="131"/>
      <c r="V51" s="131"/>
      <c r="W51" s="131"/>
    </row>
    <row r="52" spans="1:23" x14ac:dyDescent="0.25">
      <c r="A52" s="131"/>
      <c r="B52" s="131"/>
      <c r="C52" s="131"/>
      <c r="D52" s="131"/>
      <c r="E52" s="131"/>
      <c r="F52" s="131"/>
      <c r="G52" s="131"/>
      <c r="H52" s="131"/>
      <c r="I52" s="131"/>
      <c r="J52" s="131"/>
      <c r="K52" s="131"/>
      <c r="L52" s="131"/>
      <c r="M52" s="131"/>
      <c r="N52" s="131"/>
      <c r="O52" s="131"/>
      <c r="P52" s="131"/>
      <c r="Q52" s="131"/>
      <c r="R52" s="131"/>
      <c r="S52" s="131"/>
      <c r="T52" s="131"/>
      <c r="U52" s="131"/>
      <c r="V52" s="131"/>
      <c r="W52" s="131"/>
    </row>
    <row r="53" spans="1:23" x14ac:dyDescent="0.25">
      <c r="A53" s="131"/>
      <c r="B53" s="131"/>
      <c r="C53" s="131"/>
      <c r="D53" s="131"/>
      <c r="E53" s="131"/>
      <c r="F53" s="131"/>
      <c r="G53" s="131"/>
      <c r="H53" s="131"/>
      <c r="I53" s="131"/>
      <c r="J53" s="131"/>
      <c r="K53" s="131"/>
      <c r="L53" s="131"/>
      <c r="M53" s="131"/>
      <c r="N53" s="131"/>
      <c r="O53" s="131"/>
      <c r="P53" s="131"/>
      <c r="Q53" s="131"/>
      <c r="R53" s="131"/>
      <c r="S53" s="131"/>
      <c r="T53" s="131"/>
      <c r="U53" s="131"/>
      <c r="V53" s="131"/>
      <c r="W53" s="131"/>
    </row>
    <row r="54" spans="1:23" x14ac:dyDescent="0.25">
      <c r="A54" s="131"/>
      <c r="B54" s="131"/>
      <c r="C54" s="131"/>
      <c r="D54" s="131"/>
      <c r="E54" s="131"/>
      <c r="F54" s="131"/>
      <c r="G54" s="131"/>
      <c r="H54" s="131"/>
      <c r="I54" s="131"/>
      <c r="J54" s="131"/>
      <c r="K54" s="131"/>
      <c r="L54" s="131"/>
      <c r="M54" s="131"/>
      <c r="N54" s="131"/>
      <c r="O54" s="131"/>
      <c r="P54" s="131"/>
      <c r="Q54" s="131"/>
      <c r="R54" s="131"/>
      <c r="S54" s="131"/>
      <c r="T54" s="131"/>
      <c r="U54" s="131"/>
      <c r="V54" s="131"/>
      <c r="W54" s="131"/>
    </row>
    <row r="55" spans="1:23" x14ac:dyDescent="0.25">
      <c r="A55" s="131"/>
      <c r="B55" s="131"/>
      <c r="C55" s="131"/>
      <c r="D55" s="131"/>
      <c r="E55" s="131"/>
      <c r="F55" s="131"/>
      <c r="G55" s="131"/>
      <c r="H55" s="131"/>
      <c r="I55" s="131"/>
      <c r="J55" s="131"/>
      <c r="K55" s="131"/>
      <c r="L55" s="131"/>
      <c r="M55" s="131"/>
      <c r="N55" s="131"/>
      <c r="O55" s="131"/>
      <c r="P55" s="131"/>
      <c r="Q55" s="131"/>
      <c r="R55" s="131"/>
      <c r="S55" s="131"/>
      <c r="T55" s="131"/>
      <c r="U55" s="131"/>
      <c r="V55" s="131"/>
      <c r="W55" s="131"/>
    </row>
    <row r="56" spans="1:23" x14ac:dyDescent="0.25">
      <c r="A56" s="131"/>
      <c r="B56" s="131"/>
      <c r="C56" s="131"/>
      <c r="D56" s="131"/>
      <c r="E56" s="131"/>
      <c r="F56" s="131"/>
      <c r="G56" s="131"/>
      <c r="H56" s="131"/>
      <c r="I56" s="131"/>
      <c r="J56" s="131"/>
      <c r="K56" s="131"/>
      <c r="L56" s="131"/>
      <c r="M56" s="131"/>
      <c r="N56" s="131"/>
      <c r="O56" s="131"/>
      <c r="P56" s="131"/>
      <c r="Q56" s="131"/>
      <c r="R56" s="131"/>
      <c r="S56" s="131"/>
      <c r="T56" s="131"/>
      <c r="U56" s="131"/>
      <c r="V56" s="131"/>
      <c r="W56" s="131"/>
    </row>
    <row r="57" spans="1:23" x14ac:dyDescent="0.25">
      <c r="A57" s="131"/>
      <c r="B57" s="131"/>
      <c r="C57" s="131"/>
      <c r="D57" s="131"/>
      <c r="E57" s="131"/>
      <c r="F57" s="131"/>
      <c r="G57" s="131"/>
      <c r="H57" s="131"/>
      <c r="I57" s="131"/>
      <c r="J57" s="131"/>
      <c r="K57" s="131"/>
      <c r="L57" s="131"/>
      <c r="M57" s="131"/>
      <c r="N57" s="131"/>
      <c r="O57" s="131"/>
      <c r="P57" s="131"/>
      <c r="Q57" s="131"/>
      <c r="R57" s="131"/>
      <c r="S57" s="131"/>
      <c r="T57" s="131"/>
      <c r="U57" s="131"/>
      <c r="V57" s="131"/>
      <c r="W57" s="131"/>
    </row>
    <row r="58" spans="1:23" x14ac:dyDescent="0.25">
      <c r="A58" s="131"/>
      <c r="B58" s="131"/>
      <c r="C58" s="131"/>
      <c r="D58" s="131"/>
      <c r="E58" s="131"/>
      <c r="F58" s="131"/>
      <c r="G58" s="131"/>
      <c r="H58" s="131"/>
      <c r="I58" s="131"/>
      <c r="J58" s="131"/>
      <c r="K58" s="131"/>
      <c r="L58" s="131"/>
      <c r="M58" s="131"/>
      <c r="N58" s="131"/>
      <c r="O58" s="131"/>
      <c r="P58" s="131"/>
      <c r="Q58" s="131"/>
      <c r="R58" s="131"/>
      <c r="S58" s="131"/>
      <c r="T58" s="131"/>
      <c r="U58" s="131"/>
      <c r="V58" s="131"/>
      <c r="W58" s="131"/>
    </row>
    <row r="59" spans="1:23" x14ac:dyDescent="0.25">
      <c r="A59" s="131"/>
      <c r="B59" s="131"/>
      <c r="C59" s="131"/>
      <c r="D59" s="131"/>
      <c r="E59" s="131"/>
      <c r="F59" s="131"/>
      <c r="G59" s="131"/>
      <c r="H59" s="131"/>
      <c r="I59" s="131"/>
      <c r="J59" s="131"/>
      <c r="K59" s="131"/>
      <c r="L59" s="131"/>
      <c r="M59" s="131"/>
      <c r="N59" s="131"/>
      <c r="O59" s="131"/>
      <c r="P59" s="131"/>
      <c r="Q59" s="131"/>
      <c r="R59" s="131"/>
      <c r="S59" s="131"/>
      <c r="T59" s="131"/>
      <c r="U59" s="131"/>
      <c r="V59" s="131"/>
      <c r="W59" s="131"/>
    </row>
    <row r="60" spans="1:23" x14ac:dyDescent="0.25">
      <c r="A60" s="131"/>
      <c r="B60" s="131"/>
      <c r="C60" s="131"/>
      <c r="D60" s="131"/>
      <c r="E60" s="131"/>
      <c r="F60" s="131"/>
      <c r="G60" s="131"/>
      <c r="H60" s="131"/>
      <c r="I60" s="131"/>
      <c r="J60" s="131"/>
      <c r="K60" s="131"/>
      <c r="L60" s="131"/>
      <c r="M60" s="131"/>
      <c r="N60" s="131"/>
      <c r="O60" s="131"/>
      <c r="P60" s="131"/>
      <c r="Q60" s="131"/>
      <c r="R60" s="131"/>
      <c r="S60" s="131"/>
      <c r="T60" s="131"/>
      <c r="U60" s="131"/>
      <c r="V60" s="131"/>
      <c r="W60" s="131"/>
    </row>
    <row r="61" spans="1:23" x14ac:dyDescent="0.25">
      <c r="A61" s="131"/>
      <c r="B61" s="131"/>
      <c r="C61" s="131"/>
      <c r="D61" s="131"/>
      <c r="E61" s="131"/>
      <c r="F61" s="131"/>
      <c r="G61" s="131"/>
      <c r="H61" s="131"/>
      <c r="I61" s="131"/>
      <c r="J61" s="131"/>
      <c r="K61" s="131"/>
      <c r="L61" s="131"/>
      <c r="M61" s="131"/>
      <c r="N61" s="131"/>
      <c r="O61" s="131"/>
      <c r="P61" s="131"/>
      <c r="Q61" s="131"/>
      <c r="R61" s="131"/>
      <c r="S61" s="131"/>
      <c r="T61" s="131"/>
      <c r="U61" s="131"/>
      <c r="V61" s="131"/>
      <c r="W61" s="131"/>
    </row>
    <row r="62" spans="1:23" x14ac:dyDescent="0.25">
      <c r="A62" s="131"/>
      <c r="B62" s="131"/>
      <c r="C62" s="131"/>
      <c r="D62" s="131"/>
      <c r="E62" s="131"/>
      <c r="F62" s="131"/>
      <c r="G62" s="131"/>
      <c r="H62" s="131"/>
      <c r="I62" s="131"/>
      <c r="J62" s="131"/>
      <c r="K62" s="131"/>
      <c r="L62" s="131"/>
      <c r="M62" s="131"/>
      <c r="N62" s="131"/>
      <c r="O62" s="131"/>
      <c r="P62" s="131"/>
      <c r="Q62" s="131"/>
      <c r="R62" s="131"/>
      <c r="S62" s="131"/>
      <c r="T62" s="131"/>
      <c r="U62" s="131"/>
      <c r="V62" s="131"/>
      <c r="W62" s="131"/>
    </row>
    <row r="63" spans="1:23" x14ac:dyDescent="0.25">
      <c r="A63" s="131"/>
      <c r="B63" s="131"/>
      <c r="C63" s="131"/>
      <c r="D63" s="131"/>
      <c r="E63" s="131"/>
      <c r="F63" s="131"/>
      <c r="G63" s="131"/>
      <c r="H63" s="131"/>
      <c r="I63" s="131"/>
      <c r="J63" s="131"/>
      <c r="K63" s="131"/>
      <c r="L63" s="131"/>
      <c r="M63" s="131"/>
      <c r="N63" s="131"/>
      <c r="O63" s="131"/>
      <c r="P63" s="131"/>
      <c r="Q63" s="131"/>
      <c r="R63" s="131"/>
      <c r="S63" s="131"/>
      <c r="T63" s="131"/>
      <c r="U63" s="131"/>
      <c r="V63" s="131"/>
      <c r="W63" s="131"/>
    </row>
    <row r="64" spans="1:23" x14ac:dyDescent="0.25">
      <c r="A64" s="131"/>
      <c r="B64" s="131"/>
      <c r="C64" s="131"/>
      <c r="D64" s="131"/>
      <c r="E64" s="131"/>
      <c r="F64" s="131"/>
      <c r="G64" s="131"/>
      <c r="H64" s="131"/>
      <c r="I64" s="131"/>
      <c r="J64" s="131"/>
      <c r="K64" s="131"/>
      <c r="L64" s="131"/>
      <c r="M64" s="131"/>
      <c r="N64" s="131"/>
      <c r="O64" s="131"/>
      <c r="P64" s="131"/>
      <c r="Q64" s="131"/>
      <c r="R64" s="131"/>
      <c r="S64" s="131"/>
      <c r="T64" s="131"/>
      <c r="U64" s="131"/>
      <c r="V64" s="131"/>
      <c r="W64" s="131"/>
    </row>
    <row r="65" spans="1:23" x14ac:dyDescent="0.25">
      <c r="A65" s="131"/>
      <c r="B65" s="131"/>
      <c r="C65" s="131"/>
      <c r="D65" s="131"/>
      <c r="E65" s="131"/>
      <c r="F65" s="131"/>
      <c r="G65" s="131"/>
      <c r="H65" s="131"/>
      <c r="I65" s="131"/>
      <c r="J65" s="131"/>
      <c r="K65" s="131"/>
      <c r="L65" s="131"/>
      <c r="M65" s="131"/>
      <c r="N65" s="131"/>
      <c r="O65" s="131"/>
      <c r="P65" s="131"/>
      <c r="Q65" s="131"/>
      <c r="R65" s="131"/>
      <c r="S65" s="131"/>
      <c r="T65" s="131"/>
      <c r="U65" s="131"/>
      <c r="V65" s="131"/>
      <c r="W65" s="131"/>
    </row>
    <row r="66" spans="1:23" x14ac:dyDescent="0.25">
      <c r="A66" s="131"/>
      <c r="B66" s="131"/>
      <c r="C66" s="131"/>
      <c r="D66" s="131"/>
      <c r="E66" s="131"/>
      <c r="F66" s="131"/>
      <c r="G66" s="131"/>
      <c r="H66" s="131"/>
      <c r="I66" s="131"/>
      <c r="J66" s="131"/>
      <c r="K66" s="131"/>
      <c r="L66" s="131"/>
      <c r="M66" s="131"/>
      <c r="N66" s="131"/>
      <c r="O66" s="131"/>
      <c r="P66" s="131"/>
      <c r="Q66" s="131"/>
      <c r="R66" s="131"/>
      <c r="S66" s="131"/>
      <c r="T66" s="131"/>
      <c r="U66" s="131"/>
      <c r="V66" s="131"/>
      <c r="W66" s="131"/>
    </row>
    <row r="67" spans="1:23" x14ac:dyDescent="0.25">
      <c r="A67" s="131"/>
      <c r="B67" s="131"/>
      <c r="C67" s="131"/>
      <c r="D67" s="131"/>
      <c r="E67" s="131"/>
      <c r="F67" s="131"/>
      <c r="G67" s="131"/>
      <c r="H67" s="131"/>
      <c r="I67" s="131"/>
      <c r="J67" s="131"/>
      <c r="K67" s="131"/>
      <c r="L67" s="131"/>
      <c r="M67" s="131"/>
      <c r="N67" s="131"/>
      <c r="O67" s="131"/>
      <c r="P67" s="131"/>
      <c r="Q67" s="131"/>
      <c r="R67" s="131"/>
      <c r="S67" s="131"/>
      <c r="T67" s="131"/>
      <c r="U67" s="131"/>
      <c r="V67" s="131"/>
      <c r="W67" s="131"/>
    </row>
    <row r="68" spans="1:23" x14ac:dyDescent="0.25">
      <c r="A68" s="131"/>
      <c r="B68" s="131"/>
      <c r="C68" s="131"/>
      <c r="D68" s="131"/>
      <c r="E68" s="131"/>
      <c r="F68" s="131"/>
      <c r="G68" s="131"/>
      <c r="H68" s="131"/>
      <c r="I68" s="131"/>
      <c r="J68" s="131"/>
      <c r="K68" s="131"/>
      <c r="L68" s="131"/>
      <c r="M68" s="131"/>
      <c r="N68" s="131"/>
      <c r="O68" s="131"/>
      <c r="P68" s="131"/>
      <c r="Q68" s="131"/>
      <c r="R68" s="131"/>
      <c r="S68" s="131"/>
      <c r="T68" s="131"/>
      <c r="U68" s="131"/>
      <c r="V68" s="131"/>
      <c r="W68" s="131"/>
    </row>
    <row r="69" spans="1:23" x14ac:dyDescent="0.25">
      <c r="A69" s="131"/>
      <c r="B69" s="131"/>
      <c r="C69" s="131"/>
      <c r="D69" s="131"/>
      <c r="E69" s="131"/>
      <c r="F69" s="131"/>
      <c r="G69" s="131"/>
      <c r="H69" s="131"/>
      <c r="I69" s="131"/>
      <c r="J69" s="131"/>
      <c r="K69" s="131"/>
      <c r="L69" s="131"/>
      <c r="M69" s="131"/>
      <c r="N69" s="131"/>
      <c r="O69" s="131"/>
      <c r="P69" s="131"/>
      <c r="Q69" s="131"/>
      <c r="R69" s="131"/>
      <c r="S69" s="131"/>
      <c r="T69" s="131"/>
      <c r="U69" s="131"/>
      <c r="V69" s="131"/>
      <c r="W69" s="131"/>
    </row>
    <row r="70" spans="1:23" x14ac:dyDescent="0.25">
      <c r="A70" s="131"/>
      <c r="B70" s="131"/>
      <c r="C70" s="131"/>
      <c r="D70" s="131"/>
      <c r="E70" s="131"/>
      <c r="F70" s="131"/>
      <c r="G70" s="131"/>
      <c r="H70" s="131"/>
      <c r="I70" s="131"/>
      <c r="J70" s="131"/>
      <c r="K70" s="131"/>
      <c r="L70" s="131"/>
      <c r="M70" s="131"/>
      <c r="N70" s="131"/>
      <c r="O70" s="131"/>
      <c r="P70" s="131"/>
      <c r="Q70" s="131"/>
      <c r="R70" s="131"/>
      <c r="S70" s="131"/>
      <c r="T70" s="131"/>
      <c r="U70" s="131"/>
      <c r="V70" s="131"/>
      <c r="W70" s="131"/>
    </row>
    <row r="71" spans="1:23" x14ac:dyDescent="0.25">
      <c r="A71" s="131"/>
      <c r="B71" s="131"/>
      <c r="C71" s="131"/>
      <c r="D71" s="131"/>
      <c r="E71" s="131"/>
      <c r="F71" s="131"/>
      <c r="G71" s="131"/>
      <c r="H71" s="131"/>
      <c r="I71" s="131"/>
      <c r="J71" s="131"/>
      <c r="K71" s="131"/>
      <c r="L71" s="131"/>
      <c r="M71" s="131"/>
      <c r="N71" s="131"/>
      <c r="O71" s="131"/>
      <c r="P71" s="131"/>
      <c r="Q71" s="131"/>
      <c r="R71" s="131"/>
      <c r="S71" s="131"/>
      <c r="T71" s="131"/>
      <c r="U71" s="131"/>
      <c r="V71" s="131"/>
      <c r="W71" s="131"/>
    </row>
    <row r="72" spans="1:23" x14ac:dyDescent="0.25">
      <c r="A72" s="131"/>
      <c r="B72" s="131"/>
      <c r="C72" s="131"/>
      <c r="D72" s="131"/>
      <c r="E72" s="131"/>
      <c r="F72" s="131"/>
      <c r="G72" s="131"/>
      <c r="H72" s="131"/>
      <c r="I72" s="131"/>
      <c r="J72" s="131"/>
      <c r="K72" s="131"/>
      <c r="L72" s="131"/>
      <c r="M72" s="131"/>
      <c r="N72" s="131"/>
      <c r="O72" s="131"/>
      <c r="P72" s="131"/>
      <c r="Q72" s="131"/>
      <c r="R72" s="131"/>
      <c r="S72" s="131"/>
      <c r="T72" s="131"/>
      <c r="U72" s="131"/>
      <c r="V72" s="131"/>
      <c r="W72" s="131"/>
    </row>
    <row r="73" spans="1:23" x14ac:dyDescent="0.25">
      <c r="A73" s="131"/>
      <c r="B73" s="131"/>
      <c r="C73" s="131"/>
      <c r="D73" s="131"/>
      <c r="E73" s="131"/>
      <c r="F73" s="131"/>
      <c r="G73" s="131"/>
      <c r="H73" s="131"/>
      <c r="I73" s="131"/>
      <c r="J73" s="131"/>
      <c r="K73" s="131"/>
      <c r="L73" s="131"/>
      <c r="M73" s="131"/>
      <c r="N73" s="131"/>
      <c r="O73" s="131"/>
      <c r="P73" s="131"/>
      <c r="Q73" s="131"/>
      <c r="R73" s="131"/>
      <c r="S73" s="131"/>
      <c r="T73" s="131"/>
      <c r="U73" s="131"/>
      <c r="V73" s="131"/>
      <c r="W73" s="131"/>
    </row>
    <row r="74" spans="1:23" x14ac:dyDescent="0.25">
      <c r="A74" s="131"/>
      <c r="B74" s="131"/>
      <c r="C74" s="131"/>
      <c r="D74" s="131"/>
      <c r="E74" s="131"/>
      <c r="F74" s="131"/>
      <c r="G74" s="131"/>
      <c r="H74" s="131"/>
      <c r="I74" s="131"/>
      <c r="J74" s="131"/>
      <c r="K74" s="131"/>
      <c r="L74" s="131"/>
      <c r="M74" s="131"/>
      <c r="N74" s="131"/>
      <c r="O74" s="131"/>
      <c r="P74" s="131"/>
      <c r="Q74" s="131"/>
      <c r="R74" s="131"/>
      <c r="S74" s="131"/>
      <c r="T74" s="131"/>
      <c r="U74" s="131"/>
      <c r="V74" s="131"/>
      <c r="W74" s="131"/>
    </row>
    <row r="75" spans="1:23" x14ac:dyDescent="0.25">
      <c r="A75" s="131"/>
      <c r="B75" s="131"/>
      <c r="C75" s="131"/>
      <c r="D75" s="131"/>
      <c r="E75" s="131"/>
      <c r="F75" s="131"/>
      <c r="G75" s="131"/>
      <c r="H75" s="131"/>
      <c r="I75" s="131"/>
      <c r="J75" s="131"/>
      <c r="K75" s="131"/>
      <c r="L75" s="131"/>
      <c r="M75" s="131"/>
      <c r="N75" s="131"/>
      <c r="O75" s="131"/>
      <c r="P75" s="131"/>
      <c r="Q75" s="131"/>
      <c r="R75" s="131"/>
      <c r="S75" s="131"/>
      <c r="T75" s="131"/>
      <c r="U75" s="131"/>
      <c r="V75" s="131"/>
      <c r="W75" s="131"/>
    </row>
    <row r="76" spans="1:23" x14ac:dyDescent="0.25">
      <c r="A76" s="131"/>
      <c r="B76" s="131"/>
      <c r="C76" s="131"/>
      <c r="D76" s="131"/>
      <c r="E76" s="131"/>
      <c r="F76" s="131"/>
      <c r="G76" s="131"/>
      <c r="H76" s="131"/>
      <c r="I76" s="131"/>
      <c r="J76" s="131"/>
      <c r="K76" s="131"/>
      <c r="L76" s="131"/>
      <c r="M76" s="131"/>
      <c r="N76" s="131"/>
      <c r="O76" s="131"/>
      <c r="P76" s="131"/>
      <c r="Q76" s="131"/>
      <c r="R76" s="131"/>
      <c r="S76" s="131"/>
      <c r="T76" s="131"/>
      <c r="U76" s="131"/>
      <c r="V76" s="131"/>
      <c r="W76" s="131"/>
    </row>
    <row r="77" spans="1:23" x14ac:dyDescent="0.25">
      <c r="A77" s="131"/>
      <c r="B77" s="131"/>
      <c r="C77" s="131"/>
      <c r="D77" s="131"/>
      <c r="E77" s="131"/>
      <c r="F77" s="131"/>
      <c r="G77" s="131"/>
      <c r="H77" s="131"/>
      <c r="I77" s="131"/>
      <c r="J77" s="131"/>
      <c r="K77" s="131"/>
      <c r="L77" s="131"/>
      <c r="M77" s="131"/>
      <c r="N77" s="131"/>
      <c r="O77" s="131"/>
      <c r="P77" s="131"/>
      <c r="Q77" s="131"/>
      <c r="R77" s="131"/>
      <c r="S77" s="131"/>
      <c r="T77" s="131"/>
      <c r="U77" s="131"/>
      <c r="V77" s="131"/>
      <c r="W77" s="131"/>
    </row>
    <row r="78" spans="1:23" x14ac:dyDescent="0.25">
      <c r="A78" s="131"/>
      <c r="B78" s="131"/>
      <c r="C78" s="131"/>
      <c r="D78" s="131"/>
      <c r="E78" s="131"/>
      <c r="F78" s="131"/>
      <c r="G78" s="131"/>
      <c r="H78" s="131"/>
      <c r="I78" s="131"/>
      <c r="J78" s="131"/>
      <c r="K78" s="131"/>
      <c r="L78" s="131"/>
      <c r="M78" s="131"/>
      <c r="N78" s="131"/>
      <c r="O78" s="131"/>
      <c r="P78" s="131"/>
      <c r="Q78" s="131"/>
      <c r="R78" s="131"/>
      <c r="S78" s="131"/>
      <c r="T78" s="131"/>
      <c r="U78" s="131"/>
      <c r="V78" s="131"/>
      <c r="W78" s="131"/>
    </row>
    <row r="79" spans="1:23" x14ac:dyDescent="0.25">
      <c r="A79" s="131"/>
      <c r="B79" s="131"/>
      <c r="C79" s="131"/>
      <c r="D79" s="131"/>
      <c r="E79" s="131"/>
      <c r="F79" s="131"/>
      <c r="G79" s="131"/>
      <c r="H79" s="131"/>
      <c r="I79" s="131"/>
      <c r="J79" s="131"/>
      <c r="K79" s="131"/>
      <c r="L79" s="131"/>
      <c r="M79" s="131"/>
      <c r="N79" s="131"/>
      <c r="O79" s="131"/>
      <c r="P79" s="131"/>
      <c r="Q79" s="131"/>
      <c r="R79" s="131"/>
      <c r="S79" s="131"/>
      <c r="T79" s="131"/>
      <c r="U79" s="131"/>
      <c r="V79" s="131"/>
      <c r="W79" s="131"/>
    </row>
    <row r="80" spans="1:23" x14ac:dyDescent="0.25">
      <c r="A80" s="131"/>
      <c r="B80" s="131"/>
      <c r="C80" s="131"/>
      <c r="D80" s="131"/>
      <c r="E80" s="131"/>
      <c r="F80" s="131"/>
      <c r="G80" s="131"/>
      <c r="H80" s="131"/>
      <c r="I80" s="131"/>
      <c r="J80" s="131"/>
      <c r="K80" s="131"/>
      <c r="L80" s="131"/>
      <c r="M80" s="131"/>
      <c r="N80" s="131"/>
      <c r="O80" s="131"/>
      <c r="P80" s="131"/>
      <c r="Q80" s="131"/>
      <c r="R80" s="131"/>
      <c r="S80" s="131"/>
      <c r="T80" s="131"/>
      <c r="U80" s="131"/>
      <c r="V80" s="131"/>
      <c r="W80" s="131"/>
    </row>
    <row r="81" spans="1:23" x14ac:dyDescent="0.25">
      <c r="A81" s="131"/>
      <c r="B81" s="131"/>
      <c r="C81" s="131"/>
      <c r="D81" s="131"/>
      <c r="E81" s="131"/>
      <c r="F81" s="131"/>
      <c r="G81" s="131"/>
      <c r="H81" s="131"/>
      <c r="I81" s="131"/>
      <c r="J81" s="131"/>
      <c r="K81" s="131"/>
      <c r="L81" s="131"/>
      <c r="M81" s="131"/>
      <c r="N81" s="131"/>
      <c r="O81" s="131"/>
      <c r="P81" s="131"/>
      <c r="Q81" s="131"/>
      <c r="R81" s="131"/>
      <c r="S81" s="131"/>
      <c r="T81" s="131"/>
      <c r="U81" s="131"/>
      <c r="V81" s="131"/>
      <c r="W81" s="131"/>
    </row>
    <row r="82" spans="1:23" x14ac:dyDescent="0.25">
      <c r="A82" s="131"/>
      <c r="B82" s="131"/>
      <c r="C82" s="131"/>
      <c r="D82" s="131"/>
      <c r="E82" s="131"/>
      <c r="F82" s="131"/>
      <c r="G82" s="131"/>
      <c r="H82" s="131"/>
      <c r="I82" s="131"/>
      <c r="J82" s="131"/>
      <c r="K82" s="131"/>
      <c r="L82" s="131"/>
      <c r="M82" s="131"/>
      <c r="N82" s="131"/>
      <c r="O82" s="131"/>
      <c r="P82" s="131"/>
      <c r="Q82" s="131"/>
      <c r="R82" s="131"/>
      <c r="S82" s="131"/>
      <c r="T82" s="131"/>
      <c r="U82" s="131"/>
      <c r="V82" s="131"/>
      <c r="W82" s="131"/>
    </row>
    <row r="83" spans="1:23" x14ac:dyDescent="0.25">
      <c r="A83" s="131"/>
      <c r="B83" s="131"/>
      <c r="C83" s="131"/>
      <c r="D83" s="131"/>
      <c r="E83" s="131"/>
      <c r="F83" s="131"/>
      <c r="G83" s="131"/>
      <c r="H83" s="131"/>
      <c r="I83" s="131"/>
      <c r="J83" s="131"/>
      <c r="K83" s="131"/>
      <c r="L83" s="131"/>
      <c r="M83" s="131"/>
      <c r="N83" s="131"/>
      <c r="O83" s="131"/>
      <c r="P83" s="131"/>
      <c r="Q83" s="131"/>
      <c r="R83" s="131"/>
      <c r="S83" s="131"/>
      <c r="T83" s="131"/>
      <c r="U83" s="131"/>
      <c r="V83" s="131"/>
      <c r="W83" s="131"/>
    </row>
    <row r="84" spans="1:23" x14ac:dyDescent="0.25">
      <c r="A84" s="131"/>
      <c r="B84" s="131"/>
      <c r="C84" s="131"/>
      <c r="D84" s="131"/>
      <c r="E84" s="131"/>
      <c r="F84" s="131"/>
      <c r="G84" s="131"/>
      <c r="H84" s="131"/>
      <c r="I84" s="131"/>
      <c r="J84" s="131"/>
      <c r="K84" s="131"/>
      <c r="L84" s="131"/>
      <c r="M84" s="131"/>
      <c r="N84" s="131"/>
      <c r="O84" s="131"/>
      <c r="P84" s="131"/>
      <c r="Q84" s="131"/>
      <c r="R84" s="131"/>
      <c r="S84" s="131"/>
      <c r="T84" s="131"/>
      <c r="U84" s="131"/>
      <c r="V84" s="131"/>
      <c r="W84" s="131"/>
    </row>
    <row r="85" spans="1:23" x14ac:dyDescent="0.25">
      <c r="A85" s="131"/>
      <c r="B85" s="131"/>
      <c r="C85" s="131"/>
      <c r="D85" s="131"/>
      <c r="E85" s="131"/>
      <c r="F85" s="131"/>
      <c r="G85" s="131"/>
      <c r="H85" s="131"/>
      <c r="I85" s="131"/>
      <c r="J85" s="131"/>
      <c r="K85" s="131"/>
      <c r="L85" s="131"/>
      <c r="M85" s="131"/>
      <c r="N85" s="131"/>
      <c r="O85" s="131"/>
      <c r="P85" s="131"/>
      <c r="Q85" s="131"/>
      <c r="R85" s="131"/>
      <c r="S85" s="131"/>
      <c r="T85" s="131"/>
      <c r="U85" s="131"/>
      <c r="V85" s="131"/>
      <c r="W85" s="131"/>
    </row>
    <row r="86" spans="1:23" x14ac:dyDescent="0.25">
      <c r="A86" s="131"/>
      <c r="B86" s="131"/>
      <c r="C86" s="131"/>
      <c r="D86" s="131"/>
      <c r="E86" s="131"/>
      <c r="F86" s="131"/>
      <c r="G86" s="131"/>
      <c r="H86" s="131"/>
      <c r="I86" s="131"/>
      <c r="J86" s="131"/>
      <c r="K86" s="131"/>
      <c r="L86" s="131"/>
      <c r="M86" s="131"/>
      <c r="N86" s="131"/>
      <c r="O86" s="131"/>
      <c r="P86" s="131"/>
      <c r="Q86" s="131"/>
      <c r="R86" s="131"/>
      <c r="S86" s="131"/>
      <c r="T86" s="131"/>
      <c r="U86" s="131"/>
      <c r="V86" s="131"/>
      <c r="W86" s="131"/>
    </row>
    <row r="87" spans="1:23" x14ac:dyDescent="0.25">
      <c r="A87" s="131"/>
      <c r="B87" s="131"/>
      <c r="C87" s="131"/>
      <c r="D87" s="131"/>
      <c r="E87" s="131"/>
      <c r="F87" s="131"/>
      <c r="G87" s="131"/>
      <c r="H87" s="131"/>
      <c r="I87" s="131"/>
      <c r="J87" s="131"/>
      <c r="K87" s="131"/>
      <c r="L87" s="131"/>
      <c r="M87" s="131"/>
      <c r="N87" s="131"/>
      <c r="O87" s="131"/>
      <c r="P87" s="131"/>
      <c r="Q87" s="131"/>
      <c r="R87" s="131"/>
      <c r="S87" s="131"/>
      <c r="T87" s="131"/>
      <c r="U87" s="131"/>
      <c r="V87" s="131"/>
      <c r="W87" s="131"/>
    </row>
    <row r="88" spans="1:23" x14ac:dyDescent="0.25">
      <c r="A88" s="131"/>
      <c r="B88" s="131"/>
      <c r="C88" s="131"/>
      <c r="D88" s="131"/>
      <c r="E88" s="131"/>
      <c r="F88" s="131"/>
      <c r="G88" s="131"/>
      <c r="H88" s="131"/>
      <c r="I88" s="131"/>
      <c r="J88" s="131"/>
      <c r="K88" s="131"/>
      <c r="L88" s="131"/>
      <c r="M88" s="131"/>
      <c r="N88" s="131"/>
      <c r="O88" s="131"/>
      <c r="P88" s="131"/>
      <c r="Q88" s="131"/>
      <c r="R88" s="131"/>
      <c r="S88" s="131"/>
      <c r="T88" s="131"/>
      <c r="U88" s="131"/>
      <c r="V88" s="131"/>
      <c r="W88" s="131"/>
    </row>
    <row r="89" spans="1:23" x14ac:dyDescent="0.25">
      <c r="A89" s="131"/>
      <c r="B89" s="131"/>
      <c r="C89" s="131"/>
      <c r="D89" s="131"/>
      <c r="E89" s="131"/>
      <c r="F89" s="131"/>
      <c r="G89" s="131"/>
      <c r="H89" s="131"/>
      <c r="I89" s="131"/>
      <c r="J89" s="131"/>
      <c r="K89" s="131"/>
      <c r="L89" s="131"/>
      <c r="M89" s="131"/>
      <c r="N89" s="131"/>
      <c r="O89" s="131"/>
      <c r="P89" s="131"/>
      <c r="Q89" s="131"/>
      <c r="R89" s="131"/>
      <c r="S89" s="131"/>
      <c r="T89" s="131"/>
      <c r="U89" s="131"/>
      <c r="V89" s="131"/>
      <c r="W89" s="131"/>
    </row>
    <row r="90" spans="1:23" x14ac:dyDescent="0.25">
      <c r="A90" s="131"/>
      <c r="B90" s="131"/>
      <c r="C90" s="131"/>
      <c r="D90" s="131"/>
      <c r="E90" s="131"/>
      <c r="F90" s="131"/>
      <c r="G90" s="131"/>
      <c r="H90" s="131"/>
      <c r="I90" s="131"/>
      <c r="J90" s="131"/>
      <c r="K90" s="131"/>
      <c r="L90" s="131"/>
      <c r="M90" s="131"/>
      <c r="N90" s="131"/>
      <c r="O90" s="131"/>
      <c r="P90" s="131"/>
      <c r="Q90" s="131"/>
      <c r="R90" s="131"/>
      <c r="S90" s="131"/>
      <c r="T90" s="131"/>
      <c r="U90" s="131"/>
      <c r="V90" s="131"/>
      <c r="W90" s="131"/>
    </row>
    <row r="91" spans="1:23" x14ac:dyDescent="0.25">
      <c r="A91" s="131"/>
      <c r="B91" s="131"/>
      <c r="C91" s="131"/>
      <c r="D91" s="131"/>
      <c r="E91" s="131"/>
      <c r="F91" s="131"/>
      <c r="G91" s="131"/>
      <c r="H91" s="131"/>
      <c r="I91" s="131"/>
      <c r="J91" s="131"/>
      <c r="K91" s="131"/>
      <c r="L91" s="131"/>
      <c r="M91" s="131"/>
      <c r="N91" s="131"/>
      <c r="O91" s="131"/>
      <c r="P91" s="131"/>
      <c r="Q91" s="131"/>
      <c r="R91" s="131"/>
      <c r="S91" s="131"/>
      <c r="T91" s="131"/>
      <c r="U91" s="131"/>
      <c r="V91" s="131"/>
      <c r="W91" s="131"/>
    </row>
    <row r="92" spans="1:23" x14ac:dyDescent="0.25">
      <c r="A92" s="131"/>
      <c r="B92" s="131"/>
      <c r="C92" s="131"/>
      <c r="D92" s="131"/>
      <c r="E92" s="131"/>
      <c r="F92" s="131"/>
      <c r="G92" s="131"/>
      <c r="H92" s="131"/>
      <c r="I92" s="131"/>
      <c r="J92" s="131"/>
      <c r="K92" s="131"/>
      <c r="L92" s="131"/>
      <c r="M92" s="131"/>
      <c r="N92" s="131"/>
      <c r="O92" s="131"/>
      <c r="P92" s="131"/>
      <c r="Q92" s="131"/>
      <c r="R92" s="131"/>
      <c r="S92" s="131"/>
      <c r="T92" s="131"/>
      <c r="U92" s="131"/>
      <c r="V92" s="131"/>
      <c r="W92" s="131"/>
    </row>
    <row r="93" spans="1:23" x14ac:dyDescent="0.25">
      <c r="A93" s="131"/>
      <c r="B93" s="131"/>
      <c r="C93" s="131"/>
      <c r="D93" s="131"/>
      <c r="E93" s="131"/>
      <c r="F93" s="131"/>
      <c r="G93" s="131"/>
      <c r="H93" s="131"/>
      <c r="I93" s="131"/>
      <c r="J93" s="131"/>
      <c r="K93" s="131"/>
      <c r="L93" s="131"/>
      <c r="M93" s="131"/>
      <c r="N93" s="131"/>
      <c r="O93" s="131"/>
      <c r="P93" s="131"/>
      <c r="Q93" s="131"/>
      <c r="R93" s="131"/>
      <c r="S93" s="131"/>
      <c r="T93" s="131"/>
      <c r="U93" s="131"/>
      <c r="V93" s="131"/>
      <c r="W93" s="131"/>
    </row>
    <row r="94" spans="1:23" x14ac:dyDescent="0.25">
      <c r="A94" s="131"/>
      <c r="B94" s="131"/>
      <c r="C94" s="131"/>
      <c r="D94" s="131"/>
      <c r="E94" s="131"/>
      <c r="F94" s="131"/>
      <c r="G94" s="131"/>
      <c r="H94" s="131"/>
      <c r="I94" s="131"/>
      <c r="J94" s="131"/>
      <c r="K94" s="131"/>
      <c r="L94" s="131"/>
      <c r="M94" s="131"/>
      <c r="N94" s="131"/>
      <c r="O94" s="131"/>
      <c r="P94" s="131"/>
      <c r="Q94" s="131"/>
      <c r="R94" s="131"/>
      <c r="S94" s="131"/>
      <c r="T94" s="131"/>
      <c r="U94" s="131"/>
      <c r="V94" s="131"/>
      <c r="W94" s="131"/>
    </row>
    <row r="95" spans="1:23" x14ac:dyDescent="0.25">
      <c r="A95" s="131"/>
      <c r="B95" s="131"/>
      <c r="C95" s="131"/>
      <c r="D95" s="131"/>
      <c r="E95" s="131"/>
      <c r="F95" s="131"/>
      <c r="G95" s="131"/>
      <c r="H95" s="131"/>
      <c r="I95" s="131"/>
      <c r="J95" s="131"/>
      <c r="K95" s="131"/>
      <c r="L95" s="131"/>
      <c r="M95" s="131"/>
      <c r="N95" s="131"/>
      <c r="O95" s="131"/>
      <c r="P95" s="131"/>
      <c r="Q95" s="131"/>
      <c r="R95" s="131"/>
      <c r="S95" s="131"/>
      <c r="T95" s="131"/>
      <c r="U95" s="131"/>
      <c r="V95" s="131"/>
      <c r="W95" s="131"/>
    </row>
    <row r="96" spans="1:23" x14ac:dyDescent="0.25">
      <c r="A96" s="131"/>
      <c r="B96" s="131"/>
      <c r="C96" s="131"/>
      <c r="D96" s="131"/>
      <c r="E96" s="131"/>
      <c r="F96" s="131"/>
      <c r="G96" s="131"/>
      <c r="H96" s="131"/>
      <c r="I96" s="131"/>
      <c r="J96" s="131"/>
      <c r="K96" s="131"/>
      <c r="L96" s="131"/>
      <c r="M96" s="131"/>
      <c r="N96" s="131"/>
      <c r="O96" s="131"/>
      <c r="P96" s="131"/>
      <c r="Q96" s="131"/>
      <c r="R96" s="131"/>
      <c r="S96" s="131"/>
      <c r="T96" s="131"/>
      <c r="U96" s="131"/>
      <c r="V96" s="131"/>
      <c r="W96" s="131"/>
    </row>
    <row r="97" spans="1:23" x14ac:dyDescent="0.25">
      <c r="A97" s="131"/>
      <c r="B97" s="131"/>
      <c r="C97" s="131"/>
      <c r="D97" s="131"/>
      <c r="E97" s="131"/>
      <c r="F97" s="131"/>
      <c r="G97" s="131"/>
      <c r="H97" s="131"/>
      <c r="I97" s="131"/>
      <c r="J97" s="131"/>
      <c r="K97" s="131"/>
      <c r="L97" s="131"/>
      <c r="M97" s="131"/>
      <c r="N97" s="131"/>
      <c r="O97" s="131"/>
      <c r="P97" s="131"/>
      <c r="Q97" s="131"/>
      <c r="R97" s="131"/>
      <c r="S97" s="131"/>
      <c r="T97" s="131"/>
      <c r="U97" s="131"/>
      <c r="V97" s="131"/>
      <c r="W97" s="131"/>
    </row>
    <row r="98" spans="1:23" x14ac:dyDescent="0.25">
      <c r="A98" s="131"/>
      <c r="B98" s="131"/>
      <c r="C98" s="131"/>
      <c r="D98" s="131"/>
      <c r="E98" s="131"/>
      <c r="F98" s="131"/>
      <c r="G98" s="131"/>
      <c r="H98" s="131"/>
      <c r="I98" s="131"/>
      <c r="J98" s="131"/>
      <c r="K98" s="131"/>
      <c r="L98" s="131"/>
      <c r="M98" s="131"/>
      <c r="N98" s="131"/>
      <c r="O98" s="131"/>
      <c r="P98" s="131"/>
      <c r="Q98" s="131"/>
      <c r="R98" s="131"/>
      <c r="S98" s="131"/>
      <c r="T98" s="131"/>
      <c r="U98" s="131"/>
      <c r="V98" s="131"/>
      <c r="W98" s="131"/>
    </row>
    <row r="99" spans="1:23" x14ac:dyDescent="0.25">
      <c r="A99" s="131"/>
      <c r="B99" s="131"/>
      <c r="C99" s="131"/>
      <c r="D99" s="131"/>
      <c r="E99" s="131"/>
      <c r="F99" s="131"/>
      <c r="G99" s="131"/>
      <c r="H99" s="131"/>
      <c r="I99" s="131"/>
      <c r="J99" s="131"/>
      <c r="K99" s="131"/>
      <c r="L99" s="131"/>
      <c r="M99" s="131"/>
      <c r="N99" s="131"/>
      <c r="O99" s="131"/>
      <c r="P99" s="131"/>
      <c r="Q99" s="131"/>
      <c r="R99" s="131"/>
      <c r="S99" s="131"/>
      <c r="T99" s="131"/>
      <c r="U99" s="131"/>
      <c r="V99" s="131"/>
      <c r="W99" s="131"/>
    </row>
    <row r="100" spans="1:23" x14ac:dyDescent="0.25">
      <c r="A100" s="131"/>
      <c r="B100" s="131"/>
      <c r="C100" s="131"/>
      <c r="D100" s="131"/>
      <c r="E100" s="131"/>
      <c r="F100" s="131"/>
      <c r="G100" s="131"/>
      <c r="H100" s="131"/>
      <c r="I100" s="131"/>
      <c r="J100" s="131"/>
      <c r="K100" s="131"/>
      <c r="L100" s="131"/>
      <c r="M100" s="131"/>
      <c r="N100" s="131"/>
      <c r="O100" s="131"/>
      <c r="P100" s="131"/>
      <c r="Q100" s="131"/>
      <c r="R100" s="131"/>
      <c r="S100" s="131"/>
      <c r="T100" s="131"/>
      <c r="U100" s="131"/>
      <c r="V100" s="131"/>
      <c r="W100" s="131"/>
    </row>
    <row r="101" spans="1:23" x14ac:dyDescent="0.25">
      <c r="A101" s="131"/>
      <c r="B101" s="131"/>
      <c r="C101" s="131"/>
      <c r="D101" s="131"/>
      <c r="E101" s="131"/>
      <c r="F101" s="131"/>
      <c r="G101" s="131"/>
      <c r="H101" s="131"/>
      <c r="I101" s="131"/>
      <c r="J101" s="131"/>
      <c r="K101" s="131"/>
      <c r="L101" s="131"/>
      <c r="M101" s="131"/>
      <c r="N101" s="131"/>
      <c r="O101" s="131"/>
      <c r="P101" s="131"/>
      <c r="Q101" s="131"/>
      <c r="R101" s="131"/>
      <c r="S101" s="131"/>
      <c r="T101" s="131"/>
      <c r="U101" s="131"/>
      <c r="V101" s="131"/>
      <c r="W101" s="131"/>
    </row>
    <row r="102" spans="1:23" x14ac:dyDescent="0.25">
      <c r="A102" s="131"/>
      <c r="B102" s="131"/>
      <c r="C102" s="131"/>
      <c r="D102" s="131"/>
      <c r="E102" s="131"/>
      <c r="F102" s="131"/>
      <c r="G102" s="131"/>
      <c r="H102" s="131"/>
      <c r="I102" s="131"/>
      <c r="J102" s="131"/>
      <c r="K102" s="131"/>
      <c r="L102" s="131"/>
      <c r="M102" s="131"/>
      <c r="N102" s="131"/>
      <c r="O102" s="131"/>
      <c r="P102" s="131"/>
      <c r="Q102" s="131"/>
      <c r="R102" s="131"/>
      <c r="S102" s="131"/>
      <c r="T102" s="131"/>
      <c r="U102" s="131"/>
      <c r="V102" s="131"/>
      <c r="W102" s="131"/>
    </row>
    <row r="103" spans="1:23" x14ac:dyDescent="0.25">
      <c r="A103" s="131"/>
      <c r="B103" s="131"/>
      <c r="C103" s="131"/>
      <c r="D103" s="131"/>
      <c r="E103" s="131"/>
      <c r="F103" s="131"/>
      <c r="G103" s="131"/>
      <c r="H103" s="131"/>
      <c r="I103" s="131"/>
      <c r="J103" s="131"/>
      <c r="K103" s="131"/>
      <c r="L103" s="131"/>
      <c r="M103" s="131"/>
      <c r="N103" s="131"/>
      <c r="O103" s="131"/>
      <c r="P103" s="131"/>
      <c r="Q103" s="131"/>
      <c r="R103" s="131"/>
      <c r="S103" s="131"/>
      <c r="T103" s="131"/>
      <c r="U103" s="131"/>
      <c r="V103" s="131"/>
      <c r="W103" s="131"/>
    </row>
    <row r="104" spans="1:23" x14ac:dyDescent="0.25">
      <c r="A104" s="131"/>
      <c r="B104" s="131"/>
      <c r="C104" s="131"/>
      <c r="D104" s="131"/>
      <c r="E104" s="131"/>
      <c r="F104" s="131"/>
      <c r="G104" s="131"/>
      <c r="H104" s="131"/>
      <c r="I104" s="131"/>
      <c r="J104" s="131"/>
      <c r="K104" s="131"/>
      <c r="L104" s="131"/>
      <c r="M104" s="131"/>
      <c r="N104" s="131"/>
      <c r="O104" s="131"/>
      <c r="P104" s="131"/>
      <c r="Q104" s="131"/>
      <c r="R104" s="131"/>
      <c r="S104" s="131"/>
      <c r="T104" s="131"/>
      <c r="U104" s="131"/>
      <c r="V104" s="131"/>
      <c r="W104" s="131"/>
    </row>
    <row r="105" spans="1:23" x14ac:dyDescent="0.25">
      <c r="A105" s="131"/>
      <c r="B105" s="131"/>
      <c r="C105" s="131"/>
      <c r="D105" s="131"/>
      <c r="E105" s="131"/>
      <c r="F105" s="131"/>
      <c r="G105" s="131"/>
      <c r="H105" s="131"/>
      <c r="I105" s="131"/>
      <c r="J105" s="131"/>
      <c r="K105" s="131"/>
      <c r="L105" s="131"/>
      <c r="M105" s="131"/>
      <c r="N105" s="131"/>
      <c r="O105" s="131"/>
      <c r="P105" s="131"/>
      <c r="Q105" s="131"/>
      <c r="R105" s="131"/>
      <c r="S105" s="131"/>
      <c r="T105" s="131"/>
      <c r="U105" s="131"/>
      <c r="V105" s="131"/>
      <c r="W105" s="131"/>
    </row>
    <row r="106" spans="1:23" x14ac:dyDescent="0.25">
      <c r="A106" s="131"/>
      <c r="B106" s="131"/>
      <c r="C106" s="131"/>
      <c r="D106" s="131"/>
      <c r="E106" s="131"/>
      <c r="F106" s="131"/>
      <c r="G106" s="131"/>
      <c r="H106" s="131"/>
      <c r="I106" s="131"/>
      <c r="J106" s="131"/>
      <c r="K106" s="131"/>
      <c r="L106" s="131"/>
      <c r="M106" s="131"/>
      <c r="N106" s="131"/>
      <c r="O106" s="131"/>
      <c r="P106" s="131"/>
      <c r="Q106" s="131"/>
      <c r="R106" s="131"/>
      <c r="S106" s="131"/>
      <c r="T106" s="131"/>
      <c r="U106" s="131"/>
      <c r="V106" s="131"/>
      <c r="W106" s="131"/>
    </row>
    <row r="107" spans="1:23" x14ac:dyDescent="0.25">
      <c r="A107" s="131"/>
      <c r="B107" s="131"/>
      <c r="C107" s="131"/>
      <c r="D107" s="131"/>
      <c r="E107" s="131"/>
      <c r="F107" s="131"/>
      <c r="G107" s="131"/>
      <c r="H107" s="131"/>
      <c r="I107" s="131"/>
      <c r="J107" s="131"/>
      <c r="K107" s="131"/>
      <c r="L107" s="131"/>
      <c r="M107" s="131"/>
      <c r="N107" s="131"/>
      <c r="O107" s="131"/>
      <c r="P107" s="131"/>
      <c r="Q107" s="131"/>
      <c r="R107" s="131"/>
      <c r="S107" s="131"/>
      <c r="T107" s="131"/>
      <c r="U107" s="131"/>
      <c r="V107" s="131"/>
      <c r="W107" s="131"/>
    </row>
    <row r="108" spans="1:23" x14ac:dyDescent="0.25">
      <c r="A108" s="131"/>
      <c r="B108" s="131"/>
      <c r="C108" s="131"/>
      <c r="D108" s="131"/>
      <c r="E108" s="131"/>
      <c r="F108" s="131"/>
      <c r="G108" s="131"/>
      <c r="H108" s="131"/>
      <c r="I108" s="131"/>
      <c r="J108" s="131"/>
      <c r="K108" s="131"/>
      <c r="L108" s="131"/>
      <c r="M108" s="131"/>
      <c r="N108" s="131"/>
      <c r="O108" s="131"/>
      <c r="P108" s="131"/>
      <c r="Q108" s="131"/>
      <c r="R108" s="131"/>
      <c r="S108" s="131"/>
      <c r="T108" s="131"/>
      <c r="U108" s="131"/>
      <c r="V108" s="131"/>
      <c r="W108" s="131"/>
    </row>
    <row r="109" spans="1:23" x14ac:dyDescent="0.25">
      <c r="A109" s="131"/>
      <c r="B109" s="131"/>
      <c r="C109" s="131"/>
      <c r="D109" s="131"/>
      <c r="E109" s="131"/>
      <c r="F109" s="131"/>
      <c r="G109" s="131"/>
      <c r="H109" s="131"/>
      <c r="I109" s="131"/>
      <c r="J109" s="131"/>
      <c r="K109" s="131"/>
      <c r="L109" s="131"/>
      <c r="M109" s="131"/>
      <c r="N109" s="131"/>
      <c r="O109" s="131"/>
      <c r="P109" s="131"/>
      <c r="Q109" s="131"/>
      <c r="R109" s="131"/>
      <c r="S109" s="131"/>
      <c r="T109" s="131"/>
      <c r="U109" s="131"/>
      <c r="V109" s="131"/>
      <c r="W109" s="131"/>
    </row>
    <row r="110" spans="1:23" x14ac:dyDescent="0.25">
      <c r="A110" s="131"/>
      <c r="B110" s="131"/>
      <c r="C110" s="131"/>
      <c r="D110" s="131"/>
      <c r="E110" s="131"/>
      <c r="F110" s="131"/>
      <c r="G110" s="131"/>
      <c r="H110" s="131"/>
      <c r="I110" s="131"/>
      <c r="J110" s="131"/>
      <c r="K110" s="131"/>
      <c r="L110" s="131"/>
      <c r="M110" s="131"/>
      <c r="N110" s="131"/>
      <c r="O110" s="131"/>
      <c r="P110" s="131"/>
      <c r="Q110" s="131"/>
      <c r="R110" s="131"/>
      <c r="S110" s="131"/>
      <c r="T110" s="131"/>
      <c r="U110" s="131"/>
      <c r="V110" s="131"/>
      <c r="W110" s="131"/>
    </row>
    <row r="111" spans="1:23" x14ac:dyDescent="0.25">
      <c r="A111" s="131"/>
      <c r="B111" s="131"/>
      <c r="C111" s="131"/>
      <c r="D111" s="131"/>
      <c r="E111" s="131"/>
      <c r="F111" s="131"/>
      <c r="G111" s="131"/>
      <c r="H111" s="131"/>
      <c r="I111" s="131"/>
      <c r="J111" s="131"/>
      <c r="K111" s="131"/>
      <c r="L111" s="131"/>
      <c r="M111" s="131"/>
      <c r="N111" s="131"/>
      <c r="O111" s="131"/>
      <c r="P111" s="131"/>
      <c r="Q111" s="131"/>
      <c r="R111" s="131"/>
      <c r="S111" s="131"/>
      <c r="T111" s="131"/>
      <c r="U111" s="131"/>
      <c r="V111" s="131"/>
      <c r="W111" s="131"/>
    </row>
    <row r="112" spans="1:23" x14ac:dyDescent="0.25">
      <c r="A112" s="13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row>
    <row r="113" spans="1:23" x14ac:dyDescent="0.25">
      <c r="A113" s="131"/>
      <c r="B113" s="131"/>
      <c r="C113" s="131"/>
      <c r="D113" s="131"/>
      <c r="E113" s="131"/>
      <c r="F113" s="131"/>
      <c r="G113" s="131"/>
      <c r="H113" s="131"/>
      <c r="I113" s="131"/>
      <c r="J113" s="131"/>
      <c r="K113" s="131"/>
      <c r="L113" s="131"/>
      <c r="M113" s="131"/>
      <c r="N113" s="131"/>
      <c r="O113" s="131"/>
      <c r="P113" s="131"/>
      <c r="Q113" s="131"/>
      <c r="R113" s="131"/>
      <c r="S113" s="131"/>
      <c r="T113" s="131"/>
      <c r="U113" s="131"/>
      <c r="V113" s="131"/>
      <c r="W113" s="131"/>
    </row>
    <row r="114" spans="1:23" x14ac:dyDescent="0.25">
      <c r="A114" s="131"/>
      <c r="B114" s="131"/>
      <c r="C114" s="131"/>
      <c r="D114" s="131"/>
      <c r="E114" s="131"/>
      <c r="F114" s="131"/>
      <c r="G114" s="131"/>
      <c r="H114" s="131"/>
      <c r="I114" s="131"/>
      <c r="J114" s="131"/>
      <c r="K114" s="131"/>
      <c r="L114" s="131"/>
      <c r="M114" s="131"/>
      <c r="N114" s="131"/>
      <c r="O114" s="131"/>
      <c r="P114" s="131"/>
      <c r="Q114" s="131"/>
      <c r="R114" s="131"/>
      <c r="S114" s="131"/>
      <c r="T114" s="131"/>
      <c r="U114" s="131"/>
      <c r="V114" s="131"/>
      <c r="W114" s="131"/>
    </row>
    <row r="115" spans="1:23" x14ac:dyDescent="0.25">
      <c r="A115" s="131"/>
      <c r="B115" s="131"/>
      <c r="C115" s="131"/>
      <c r="D115" s="131"/>
      <c r="E115" s="131"/>
      <c r="F115" s="131"/>
      <c r="G115" s="131"/>
      <c r="H115" s="131"/>
      <c r="I115" s="131"/>
      <c r="J115" s="131"/>
      <c r="K115" s="131"/>
      <c r="L115" s="131"/>
      <c r="M115" s="131"/>
      <c r="N115" s="131"/>
      <c r="O115" s="131"/>
      <c r="P115" s="131"/>
      <c r="Q115" s="131"/>
      <c r="R115" s="131"/>
      <c r="S115" s="131"/>
      <c r="T115" s="131"/>
      <c r="U115" s="131"/>
      <c r="V115" s="131"/>
      <c r="W115" s="131"/>
    </row>
    <row r="116" spans="1:23" x14ac:dyDescent="0.25">
      <c r="A116" s="131"/>
      <c r="B116" s="131"/>
      <c r="C116" s="131"/>
      <c r="D116" s="131"/>
      <c r="E116" s="131"/>
      <c r="F116" s="131"/>
      <c r="G116" s="131"/>
      <c r="H116" s="131"/>
      <c r="I116" s="131"/>
      <c r="J116" s="131"/>
      <c r="K116" s="131"/>
      <c r="L116" s="131"/>
      <c r="M116" s="131"/>
      <c r="N116" s="131"/>
      <c r="O116" s="131"/>
      <c r="P116" s="131"/>
      <c r="Q116" s="131"/>
      <c r="R116" s="131"/>
      <c r="S116" s="131"/>
      <c r="T116" s="131"/>
      <c r="U116" s="131"/>
      <c r="V116" s="131"/>
      <c r="W116" s="131"/>
    </row>
    <row r="117" spans="1:23" x14ac:dyDescent="0.25">
      <c r="A117" s="131"/>
      <c r="B117" s="131"/>
      <c r="C117" s="131"/>
      <c r="D117" s="131"/>
      <c r="E117" s="131"/>
      <c r="F117" s="131"/>
      <c r="G117" s="131"/>
      <c r="H117" s="131"/>
      <c r="I117" s="131"/>
      <c r="J117" s="131"/>
      <c r="K117" s="131"/>
      <c r="L117" s="131"/>
      <c r="M117" s="131"/>
      <c r="N117" s="131"/>
      <c r="O117" s="131"/>
      <c r="P117" s="131"/>
      <c r="Q117" s="131"/>
      <c r="R117" s="131"/>
      <c r="S117" s="131"/>
      <c r="T117" s="131"/>
      <c r="U117" s="131"/>
      <c r="V117" s="131"/>
      <c r="W117" s="131"/>
    </row>
    <row r="118" spans="1:23" x14ac:dyDescent="0.25">
      <c r="A118" s="131"/>
      <c r="B118" s="131"/>
      <c r="C118" s="131"/>
      <c r="D118" s="131"/>
      <c r="E118" s="131"/>
      <c r="F118" s="131"/>
      <c r="G118" s="131"/>
      <c r="H118" s="131"/>
      <c r="I118" s="131"/>
      <c r="J118" s="131"/>
      <c r="K118" s="131"/>
      <c r="L118" s="131"/>
      <c r="M118" s="131"/>
      <c r="N118" s="131"/>
      <c r="O118" s="131"/>
      <c r="P118" s="131"/>
      <c r="Q118" s="131"/>
      <c r="R118" s="131"/>
      <c r="S118" s="131"/>
      <c r="T118" s="131"/>
      <c r="U118" s="131"/>
      <c r="V118" s="131"/>
      <c r="W118" s="131"/>
    </row>
    <row r="119" spans="1:23" x14ac:dyDescent="0.25">
      <c r="A119" s="131"/>
      <c r="B119" s="131"/>
      <c r="C119" s="131"/>
      <c r="D119" s="131"/>
      <c r="E119" s="131"/>
      <c r="F119" s="131"/>
      <c r="G119" s="131"/>
      <c r="H119" s="131"/>
      <c r="I119" s="131"/>
      <c r="J119" s="131"/>
      <c r="K119" s="131"/>
      <c r="L119" s="131"/>
      <c r="M119" s="131"/>
      <c r="N119" s="131"/>
      <c r="O119" s="131"/>
      <c r="P119" s="131"/>
      <c r="Q119" s="131"/>
      <c r="R119" s="131"/>
      <c r="S119" s="131"/>
      <c r="T119" s="131"/>
      <c r="U119" s="131"/>
      <c r="V119" s="131"/>
      <c r="W119" s="131"/>
    </row>
    <row r="120" spans="1:23" x14ac:dyDescent="0.25">
      <c r="A120" s="131"/>
      <c r="B120" s="131"/>
      <c r="C120" s="131"/>
      <c r="D120" s="131"/>
      <c r="E120" s="131"/>
      <c r="F120" s="131"/>
      <c r="G120" s="131"/>
      <c r="H120" s="131"/>
      <c r="I120" s="131"/>
      <c r="J120" s="131"/>
      <c r="K120" s="131"/>
      <c r="L120" s="131"/>
      <c r="M120" s="131"/>
      <c r="N120" s="131"/>
      <c r="O120" s="131"/>
      <c r="P120" s="131"/>
      <c r="Q120" s="131"/>
      <c r="R120" s="131"/>
      <c r="S120" s="131"/>
      <c r="T120" s="131"/>
      <c r="U120" s="131"/>
      <c r="V120" s="131"/>
      <c r="W120" s="131"/>
    </row>
    <row r="121" spans="1:23" x14ac:dyDescent="0.25">
      <c r="A121" s="131"/>
      <c r="B121" s="131"/>
      <c r="C121" s="131"/>
      <c r="D121" s="131"/>
      <c r="E121" s="131"/>
      <c r="F121" s="131"/>
      <c r="G121" s="131"/>
      <c r="H121" s="131"/>
      <c r="I121" s="131"/>
      <c r="J121" s="131"/>
      <c r="K121" s="131"/>
      <c r="L121" s="131"/>
      <c r="M121" s="131"/>
      <c r="N121" s="131"/>
      <c r="O121" s="131"/>
      <c r="P121" s="131"/>
      <c r="Q121" s="131"/>
      <c r="R121" s="131"/>
      <c r="S121" s="131"/>
      <c r="T121" s="131"/>
      <c r="U121" s="131"/>
      <c r="V121" s="131"/>
      <c r="W121" s="131"/>
    </row>
    <row r="122" spans="1:23" x14ac:dyDescent="0.25">
      <c r="A122" s="131"/>
      <c r="B122" s="131"/>
      <c r="C122" s="131"/>
      <c r="D122" s="131"/>
      <c r="E122" s="131"/>
      <c r="F122" s="131"/>
      <c r="G122" s="131"/>
      <c r="H122" s="131"/>
      <c r="I122" s="131"/>
      <c r="J122" s="131"/>
      <c r="K122" s="131"/>
      <c r="L122" s="131"/>
      <c r="M122" s="131"/>
      <c r="N122" s="131"/>
      <c r="O122" s="131"/>
      <c r="P122" s="131"/>
      <c r="Q122" s="131"/>
      <c r="R122" s="131"/>
      <c r="S122" s="131"/>
      <c r="T122" s="131"/>
      <c r="U122" s="131"/>
      <c r="V122" s="131"/>
      <c r="W122" s="131"/>
    </row>
    <row r="123" spans="1:23" x14ac:dyDescent="0.25">
      <c r="A123" s="131"/>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row>
    <row r="124" spans="1:23" x14ac:dyDescent="0.25">
      <c r="A124" s="131"/>
      <c r="B124" s="131"/>
      <c r="C124" s="131"/>
      <c r="D124" s="131"/>
      <c r="E124" s="131"/>
      <c r="F124" s="131"/>
      <c r="G124" s="131"/>
      <c r="H124" s="131"/>
      <c r="I124" s="131"/>
      <c r="J124" s="131"/>
      <c r="K124" s="131"/>
      <c r="L124" s="131"/>
      <c r="M124" s="131"/>
      <c r="N124" s="131"/>
      <c r="O124" s="131"/>
      <c r="P124" s="131"/>
      <c r="Q124" s="131"/>
      <c r="R124" s="131"/>
      <c r="S124" s="131"/>
      <c r="T124" s="131"/>
      <c r="U124" s="131"/>
      <c r="V124" s="131"/>
      <c r="W124" s="131"/>
    </row>
    <row r="125" spans="1:23" x14ac:dyDescent="0.25">
      <c r="A125" s="131"/>
      <c r="B125" s="131"/>
      <c r="C125" s="131"/>
      <c r="D125" s="131"/>
      <c r="E125" s="131"/>
      <c r="F125" s="131"/>
      <c r="G125" s="131"/>
      <c r="H125" s="131"/>
      <c r="I125" s="131"/>
      <c r="J125" s="131"/>
      <c r="K125" s="131"/>
      <c r="L125" s="131"/>
      <c r="M125" s="131"/>
      <c r="N125" s="131"/>
      <c r="O125" s="131"/>
      <c r="P125" s="131"/>
      <c r="Q125" s="131"/>
      <c r="R125" s="131"/>
      <c r="S125" s="131"/>
      <c r="T125" s="131"/>
      <c r="U125" s="131"/>
      <c r="V125" s="131"/>
      <c r="W125" s="131"/>
    </row>
    <row r="126" spans="1:23" x14ac:dyDescent="0.25">
      <c r="A126" s="131"/>
      <c r="B126" s="131"/>
      <c r="C126" s="131"/>
      <c r="D126" s="131"/>
      <c r="E126" s="131"/>
      <c r="F126" s="131"/>
      <c r="G126" s="131"/>
      <c r="H126" s="131"/>
      <c r="I126" s="131"/>
      <c r="J126" s="131"/>
      <c r="K126" s="131"/>
      <c r="L126" s="131"/>
      <c r="M126" s="131"/>
      <c r="N126" s="131"/>
      <c r="O126" s="131"/>
      <c r="P126" s="131"/>
      <c r="Q126" s="131"/>
      <c r="R126" s="131"/>
      <c r="S126" s="131"/>
      <c r="T126" s="131"/>
      <c r="U126" s="131"/>
      <c r="V126" s="131"/>
      <c r="W126" s="131"/>
    </row>
    <row r="127" spans="1:23" x14ac:dyDescent="0.25">
      <c r="A127" s="131"/>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row>
    <row r="128" spans="1:23" x14ac:dyDescent="0.25">
      <c r="A128" s="131"/>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row>
    <row r="129" spans="1:23" x14ac:dyDescent="0.25">
      <c r="A129" s="131"/>
      <c r="B129" s="131"/>
      <c r="C129" s="131"/>
      <c r="D129" s="131"/>
      <c r="E129" s="131"/>
      <c r="F129" s="131"/>
      <c r="G129" s="131"/>
      <c r="H129" s="131"/>
      <c r="I129" s="131"/>
      <c r="J129" s="131"/>
      <c r="K129" s="131"/>
      <c r="L129" s="131"/>
      <c r="M129" s="131"/>
      <c r="N129" s="131"/>
      <c r="O129" s="131"/>
      <c r="P129" s="131"/>
      <c r="Q129" s="131"/>
      <c r="R129" s="131"/>
      <c r="S129" s="131"/>
      <c r="T129" s="131"/>
      <c r="U129" s="131"/>
      <c r="V129" s="131"/>
      <c r="W129" s="131"/>
    </row>
    <row r="130" spans="1:23" x14ac:dyDescent="0.25">
      <c r="A130" s="131"/>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row>
    <row r="131" spans="1:23" x14ac:dyDescent="0.25">
      <c r="A131" s="131"/>
      <c r="B131" s="131"/>
      <c r="C131" s="131"/>
      <c r="D131" s="131"/>
      <c r="E131" s="131"/>
      <c r="F131" s="131"/>
      <c r="G131" s="131"/>
      <c r="H131" s="131"/>
      <c r="I131" s="131"/>
      <c r="J131" s="131"/>
      <c r="K131" s="131"/>
      <c r="L131" s="131"/>
      <c r="M131" s="131"/>
      <c r="N131" s="131"/>
      <c r="O131" s="131"/>
      <c r="P131" s="131"/>
      <c r="Q131" s="131"/>
      <c r="R131" s="131"/>
      <c r="S131" s="131"/>
      <c r="T131" s="131"/>
      <c r="U131" s="131"/>
      <c r="V131" s="131"/>
      <c r="W131" s="131"/>
    </row>
    <row r="132" spans="1:23" x14ac:dyDescent="0.25">
      <c r="A132" s="131"/>
      <c r="B132" s="131"/>
      <c r="C132" s="131"/>
      <c r="D132" s="131"/>
      <c r="E132" s="131"/>
      <c r="F132" s="131"/>
      <c r="G132" s="131"/>
      <c r="H132" s="131"/>
      <c r="I132" s="131"/>
      <c r="J132" s="131"/>
      <c r="K132" s="131"/>
      <c r="L132" s="131"/>
      <c r="M132" s="131"/>
      <c r="N132" s="131"/>
      <c r="O132" s="131"/>
      <c r="P132" s="131"/>
      <c r="Q132" s="131"/>
      <c r="R132" s="131"/>
      <c r="S132" s="131"/>
      <c r="T132" s="131"/>
      <c r="U132" s="131"/>
      <c r="V132" s="131"/>
      <c r="W132" s="131"/>
    </row>
    <row r="133" spans="1:23" x14ac:dyDescent="0.25">
      <c r="A133" s="131"/>
      <c r="B133" s="131"/>
      <c r="C133" s="131"/>
      <c r="D133" s="131"/>
      <c r="E133" s="131"/>
      <c r="F133" s="131"/>
      <c r="G133" s="131"/>
      <c r="H133" s="131"/>
      <c r="I133" s="131"/>
      <c r="J133" s="131"/>
      <c r="K133" s="131"/>
      <c r="L133" s="131"/>
      <c r="M133" s="131"/>
      <c r="N133" s="131"/>
      <c r="O133" s="131"/>
      <c r="P133" s="131"/>
      <c r="Q133" s="131"/>
      <c r="R133" s="131"/>
      <c r="S133" s="131"/>
      <c r="T133" s="131"/>
      <c r="U133" s="131"/>
      <c r="V133" s="131"/>
      <c r="W133" s="131"/>
    </row>
    <row r="134" spans="1:23" x14ac:dyDescent="0.25">
      <c r="A134" s="131"/>
      <c r="B134" s="131"/>
      <c r="C134" s="131"/>
      <c r="D134" s="131"/>
      <c r="E134" s="131"/>
      <c r="F134" s="131"/>
      <c r="G134" s="131"/>
      <c r="H134" s="131"/>
      <c r="I134" s="131"/>
      <c r="J134" s="131"/>
      <c r="K134" s="131"/>
      <c r="L134" s="131"/>
      <c r="M134" s="131"/>
      <c r="N134" s="131"/>
      <c r="O134" s="131"/>
      <c r="P134" s="131"/>
      <c r="Q134" s="131"/>
      <c r="R134" s="131"/>
      <c r="S134" s="131"/>
      <c r="T134" s="131"/>
      <c r="U134" s="131"/>
      <c r="V134" s="131"/>
      <c r="W134" s="131"/>
    </row>
    <row r="135" spans="1:23" x14ac:dyDescent="0.25">
      <c r="A135" s="131"/>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row>
    <row r="136" spans="1:23" x14ac:dyDescent="0.25">
      <c r="A136" s="131"/>
      <c r="B136" s="131"/>
      <c r="C136" s="131"/>
      <c r="D136" s="131"/>
      <c r="E136" s="131"/>
      <c r="F136" s="131"/>
      <c r="G136" s="131"/>
      <c r="H136" s="131"/>
      <c r="I136" s="131"/>
      <c r="J136" s="131"/>
      <c r="K136" s="131"/>
      <c r="L136" s="131"/>
      <c r="M136" s="131"/>
      <c r="N136" s="131"/>
      <c r="O136" s="131"/>
      <c r="P136" s="131"/>
      <c r="Q136" s="131"/>
      <c r="R136" s="131"/>
      <c r="S136" s="131"/>
      <c r="T136" s="131"/>
      <c r="U136" s="131"/>
      <c r="V136" s="131"/>
      <c r="W136" s="131"/>
    </row>
    <row r="137" spans="1:23" x14ac:dyDescent="0.25">
      <c r="A137" s="131"/>
      <c r="B137" s="131"/>
      <c r="C137" s="131"/>
      <c r="D137" s="131"/>
      <c r="E137" s="131"/>
      <c r="F137" s="131"/>
      <c r="G137" s="131"/>
      <c r="H137" s="131"/>
      <c r="I137" s="131"/>
      <c r="J137" s="131"/>
      <c r="K137" s="131"/>
      <c r="L137" s="131"/>
      <c r="M137" s="131"/>
      <c r="N137" s="131"/>
      <c r="O137" s="131"/>
      <c r="P137" s="131"/>
      <c r="Q137" s="131"/>
      <c r="R137" s="131"/>
      <c r="S137" s="131"/>
      <c r="T137" s="131"/>
      <c r="U137" s="131"/>
      <c r="V137" s="131"/>
      <c r="W137" s="131"/>
    </row>
    <row r="138" spans="1:23" x14ac:dyDescent="0.25">
      <c r="A138" s="131"/>
      <c r="B138" s="131"/>
      <c r="C138" s="131"/>
      <c r="D138" s="131"/>
      <c r="E138" s="131"/>
      <c r="F138" s="131"/>
      <c r="G138" s="131"/>
      <c r="H138" s="131"/>
      <c r="I138" s="131"/>
      <c r="J138" s="131"/>
      <c r="K138" s="131"/>
      <c r="L138" s="131"/>
      <c r="M138" s="131"/>
      <c r="N138" s="131"/>
      <c r="O138" s="131"/>
      <c r="P138" s="131"/>
      <c r="Q138" s="131"/>
      <c r="R138" s="131"/>
      <c r="S138" s="131"/>
      <c r="T138" s="131"/>
      <c r="U138" s="131"/>
      <c r="V138" s="131"/>
      <c r="W138" s="131"/>
    </row>
    <row r="139" spans="1:23" x14ac:dyDescent="0.25">
      <c r="A139" s="131"/>
      <c r="B139" s="131"/>
      <c r="C139" s="131"/>
      <c r="D139" s="131"/>
      <c r="E139" s="131"/>
      <c r="F139" s="131"/>
      <c r="G139" s="131"/>
      <c r="H139" s="131"/>
      <c r="I139" s="131"/>
      <c r="J139" s="131"/>
      <c r="K139" s="131"/>
      <c r="L139" s="131"/>
      <c r="M139" s="131"/>
      <c r="N139" s="131"/>
      <c r="O139" s="131"/>
      <c r="P139" s="131"/>
      <c r="Q139" s="131"/>
      <c r="R139" s="131"/>
      <c r="S139" s="131"/>
      <c r="T139" s="131"/>
      <c r="U139" s="131"/>
      <c r="V139" s="131"/>
      <c r="W139" s="131"/>
    </row>
    <row r="140" spans="1:23" x14ac:dyDescent="0.25">
      <c r="A140" s="131"/>
      <c r="B140" s="131"/>
      <c r="C140" s="131"/>
      <c r="D140" s="131"/>
      <c r="E140" s="131"/>
      <c r="F140" s="131"/>
      <c r="G140" s="131"/>
      <c r="H140" s="131"/>
      <c r="I140" s="131"/>
      <c r="J140" s="131"/>
      <c r="K140" s="131"/>
      <c r="L140" s="131"/>
      <c r="M140" s="131"/>
      <c r="N140" s="131"/>
      <c r="O140" s="131"/>
      <c r="P140" s="131"/>
      <c r="Q140" s="131"/>
      <c r="R140" s="131"/>
      <c r="S140" s="131"/>
      <c r="T140" s="131"/>
      <c r="U140" s="131"/>
      <c r="V140" s="131"/>
      <c r="W140" s="131"/>
    </row>
    <row r="141" spans="1:23" x14ac:dyDescent="0.25">
      <c r="A141" s="131"/>
      <c r="B141" s="131"/>
      <c r="C141" s="131"/>
      <c r="D141" s="131"/>
      <c r="E141" s="131"/>
      <c r="F141" s="131"/>
      <c r="G141" s="131"/>
      <c r="H141" s="131"/>
      <c r="I141" s="131"/>
      <c r="J141" s="131"/>
      <c r="K141" s="131"/>
      <c r="L141" s="131"/>
      <c r="M141" s="131"/>
      <c r="N141" s="131"/>
      <c r="O141" s="131"/>
      <c r="P141" s="131"/>
      <c r="Q141" s="131"/>
      <c r="R141" s="131"/>
      <c r="S141" s="131"/>
      <c r="T141" s="131"/>
      <c r="U141" s="131"/>
      <c r="V141" s="131"/>
      <c r="W141" s="131"/>
    </row>
    <row r="142" spans="1:23" x14ac:dyDescent="0.25">
      <c r="A142" s="131"/>
      <c r="B142" s="131"/>
      <c r="C142" s="131"/>
      <c r="D142" s="131"/>
      <c r="E142" s="131"/>
      <c r="F142" s="131"/>
      <c r="G142" s="131"/>
      <c r="H142" s="131"/>
      <c r="I142" s="131"/>
      <c r="J142" s="131"/>
      <c r="K142" s="131"/>
      <c r="L142" s="131"/>
      <c r="M142" s="131"/>
      <c r="N142" s="131"/>
      <c r="O142" s="131"/>
      <c r="P142" s="131"/>
      <c r="Q142" s="131"/>
      <c r="R142" s="131"/>
      <c r="S142" s="131"/>
      <c r="T142" s="131"/>
      <c r="U142" s="131"/>
      <c r="V142" s="131"/>
      <c r="W142" s="131"/>
    </row>
    <row r="143" spans="1:23" x14ac:dyDescent="0.25">
      <c r="A143" s="131"/>
      <c r="B143" s="131"/>
      <c r="C143" s="131"/>
      <c r="D143" s="131"/>
      <c r="E143" s="131"/>
      <c r="F143" s="131"/>
      <c r="G143" s="131"/>
      <c r="H143" s="131"/>
      <c r="I143" s="131"/>
      <c r="J143" s="131"/>
      <c r="K143" s="131"/>
      <c r="L143" s="131"/>
      <c r="M143" s="131"/>
      <c r="N143" s="131"/>
      <c r="O143" s="131"/>
      <c r="P143" s="131"/>
      <c r="Q143" s="131"/>
      <c r="R143" s="131"/>
      <c r="S143" s="131"/>
      <c r="T143" s="131"/>
      <c r="U143" s="131"/>
      <c r="V143" s="131"/>
      <c r="W143" s="131"/>
    </row>
    <row r="144" spans="1:23" x14ac:dyDescent="0.25">
      <c r="A144" s="131"/>
      <c r="B144" s="131"/>
      <c r="C144" s="131"/>
      <c r="D144" s="131"/>
      <c r="E144" s="131"/>
      <c r="F144" s="131"/>
      <c r="G144" s="131"/>
      <c r="H144" s="131"/>
      <c r="I144" s="131"/>
      <c r="J144" s="131"/>
      <c r="K144" s="131"/>
      <c r="L144" s="131"/>
      <c r="M144" s="131"/>
      <c r="N144" s="131"/>
      <c r="O144" s="131"/>
      <c r="P144" s="131"/>
      <c r="Q144" s="131"/>
      <c r="R144" s="131"/>
      <c r="S144" s="131"/>
      <c r="T144" s="131"/>
      <c r="U144" s="131"/>
      <c r="V144" s="131"/>
      <c r="W144" s="131"/>
    </row>
    <row r="145" spans="1:23" x14ac:dyDescent="0.25">
      <c r="A145" s="131"/>
      <c r="B145" s="131"/>
      <c r="C145" s="131"/>
      <c r="D145" s="131"/>
      <c r="E145" s="131"/>
      <c r="F145" s="131"/>
      <c r="G145" s="131"/>
      <c r="H145" s="131"/>
      <c r="I145" s="131"/>
      <c r="J145" s="131"/>
      <c r="K145" s="131"/>
      <c r="L145" s="131"/>
      <c r="M145" s="131"/>
      <c r="N145" s="131"/>
      <c r="O145" s="131"/>
      <c r="P145" s="131"/>
      <c r="Q145" s="131"/>
      <c r="R145" s="131"/>
      <c r="S145" s="131"/>
      <c r="T145" s="131"/>
      <c r="U145" s="131"/>
      <c r="V145" s="131"/>
      <c r="W145" s="131"/>
    </row>
    <row r="146" spans="1:23" x14ac:dyDescent="0.25">
      <c r="A146" s="131"/>
      <c r="B146" s="131"/>
      <c r="C146" s="131"/>
      <c r="D146" s="131"/>
      <c r="E146" s="131"/>
      <c r="F146" s="131"/>
      <c r="G146" s="131"/>
      <c r="H146" s="131"/>
      <c r="I146" s="131"/>
      <c r="J146" s="131"/>
      <c r="K146" s="131"/>
      <c r="L146" s="131"/>
      <c r="M146" s="131"/>
      <c r="N146" s="131"/>
      <c r="O146" s="131"/>
      <c r="P146" s="131"/>
      <c r="Q146" s="131"/>
      <c r="R146" s="131"/>
      <c r="S146" s="131"/>
      <c r="T146" s="131"/>
      <c r="U146" s="131"/>
      <c r="V146" s="131"/>
      <c r="W146" s="131"/>
    </row>
    <row r="147" spans="1:23" x14ac:dyDescent="0.25">
      <c r="A147" s="131"/>
      <c r="B147" s="131"/>
      <c r="C147" s="131"/>
      <c r="D147" s="131"/>
      <c r="E147" s="131"/>
      <c r="F147" s="131"/>
      <c r="G147" s="131"/>
      <c r="H147" s="131"/>
      <c r="I147" s="131"/>
      <c r="J147" s="131"/>
      <c r="K147" s="131"/>
      <c r="L147" s="131"/>
      <c r="M147" s="131"/>
      <c r="N147" s="131"/>
      <c r="O147" s="131"/>
      <c r="P147" s="131"/>
      <c r="Q147" s="131"/>
      <c r="R147" s="131"/>
      <c r="S147" s="131"/>
      <c r="T147" s="131"/>
      <c r="U147" s="131"/>
      <c r="V147" s="131"/>
      <c r="W147" s="131"/>
    </row>
    <row r="148" spans="1:23" x14ac:dyDescent="0.25">
      <c r="A148" s="131"/>
      <c r="B148" s="131"/>
      <c r="C148" s="131"/>
      <c r="D148" s="131"/>
      <c r="E148" s="131"/>
      <c r="F148" s="131"/>
      <c r="G148" s="131"/>
      <c r="H148" s="131"/>
      <c r="I148" s="131"/>
      <c r="J148" s="131"/>
      <c r="K148" s="131"/>
      <c r="L148" s="131"/>
      <c r="M148" s="131"/>
      <c r="N148" s="131"/>
      <c r="O148" s="131"/>
      <c r="P148" s="131"/>
      <c r="Q148" s="131"/>
      <c r="R148" s="131"/>
      <c r="S148" s="131"/>
      <c r="T148" s="131"/>
      <c r="U148" s="131"/>
      <c r="V148" s="131"/>
      <c r="W148" s="131"/>
    </row>
    <row r="149" spans="1:23" x14ac:dyDescent="0.25">
      <c r="A149" s="131"/>
      <c r="B149" s="131"/>
      <c r="C149" s="131"/>
      <c r="D149" s="131"/>
      <c r="E149" s="131"/>
      <c r="F149" s="131"/>
      <c r="G149" s="131"/>
      <c r="H149" s="131"/>
      <c r="I149" s="131"/>
      <c r="J149" s="131"/>
      <c r="K149" s="131"/>
      <c r="L149" s="131"/>
      <c r="M149" s="131"/>
      <c r="N149" s="131"/>
      <c r="O149" s="131"/>
      <c r="P149" s="131"/>
      <c r="Q149" s="131"/>
      <c r="R149" s="131"/>
      <c r="S149" s="131"/>
      <c r="T149" s="131"/>
      <c r="U149" s="131"/>
      <c r="V149" s="131"/>
      <c r="W149" s="131"/>
    </row>
    <row r="150" spans="1:23" x14ac:dyDescent="0.25">
      <c r="A150" s="131"/>
      <c r="B150" s="131"/>
      <c r="C150" s="131"/>
      <c r="D150" s="131"/>
      <c r="E150" s="131"/>
      <c r="F150" s="131"/>
      <c r="G150" s="131"/>
      <c r="H150" s="131"/>
      <c r="I150" s="131"/>
      <c r="J150" s="131"/>
      <c r="K150" s="131"/>
      <c r="L150" s="131"/>
      <c r="M150" s="131"/>
      <c r="N150" s="131"/>
      <c r="O150" s="131"/>
      <c r="P150" s="131"/>
      <c r="Q150" s="131"/>
      <c r="R150" s="131"/>
      <c r="S150" s="131"/>
      <c r="T150" s="131"/>
      <c r="U150" s="131"/>
      <c r="V150" s="131"/>
      <c r="W150" s="131"/>
    </row>
    <row r="151" spans="1:23" x14ac:dyDescent="0.25">
      <c r="A151" s="131"/>
      <c r="B151" s="131"/>
      <c r="C151" s="131"/>
      <c r="D151" s="131"/>
      <c r="E151" s="131"/>
      <c r="F151" s="131"/>
      <c r="G151" s="131"/>
      <c r="H151" s="131"/>
      <c r="I151" s="131"/>
      <c r="J151" s="131"/>
      <c r="K151" s="131"/>
      <c r="L151" s="131"/>
      <c r="M151" s="131"/>
      <c r="N151" s="131"/>
      <c r="O151" s="131"/>
      <c r="P151" s="131"/>
      <c r="Q151" s="131"/>
      <c r="R151" s="131"/>
      <c r="S151" s="131"/>
      <c r="T151" s="131"/>
      <c r="U151" s="131"/>
      <c r="V151" s="131"/>
      <c r="W151" s="131"/>
    </row>
    <row r="152" spans="1:23" x14ac:dyDescent="0.25">
      <c r="A152" s="131"/>
      <c r="B152" s="131"/>
      <c r="C152" s="131"/>
      <c r="D152" s="131"/>
      <c r="E152" s="131"/>
      <c r="F152" s="131"/>
      <c r="G152" s="131"/>
      <c r="H152" s="131"/>
      <c r="I152" s="131"/>
      <c r="J152" s="131"/>
      <c r="K152" s="131"/>
      <c r="L152" s="131"/>
      <c r="M152" s="131"/>
      <c r="N152" s="131"/>
      <c r="O152" s="131"/>
      <c r="P152" s="131"/>
      <c r="Q152" s="131"/>
      <c r="R152" s="131"/>
      <c r="S152" s="131"/>
      <c r="T152" s="131"/>
      <c r="U152" s="131"/>
      <c r="V152" s="131"/>
      <c r="W152" s="131"/>
    </row>
    <row r="153" spans="1:23" x14ac:dyDescent="0.25">
      <c r="A153" s="131"/>
      <c r="B153" s="131"/>
      <c r="C153" s="131"/>
      <c r="D153" s="131"/>
      <c r="E153" s="131"/>
      <c r="F153" s="131"/>
      <c r="G153" s="131"/>
      <c r="H153" s="131"/>
      <c r="I153" s="131"/>
      <c r="J153" s="131"/>
      <c r="K153" s="131"/>
      <c r="L153" s="131"/>
      <c r="M153" s="131"/>
      <c r="N153" s="131"/>
      <c r="O153" s="131"/>
      <c r="P153" s="131"/>
      <c r="Q153" s="131"/>
      <c r="R153" s="131"/>
      <c r="S153" s="131"/>
      <c r="T153" s="131"/>
      <c r="U153" s="131"/>
      <c r="V153" s="131"/>
      <c r="W153" s="131"/>
    </row>
    <row r="154" spans="1:23" x14ac:dyDescent="0.25">
      <c r="A154" s="131"/>
      <c r="B154" s="131"/>
      <c r="C154" s="131"/>
      <c r="D154" s="131"/>
      <c r="E154" s="131"/>
      <c r="F154" s="131"/>
      <c r="G154" s="131"/>
      <c r="H154" s="131"/>
      <c r="I154" s="131"/>
      <c r="J154" s="131"/>
      <c r="K154" s="131"/>
      <c r="L154" s="131"/>
      <c r="M154" s="131"/>
      <c r="N154" s="131"/>
      <c r="O154" s="131"/>
      <c r="P154" s="131"/>
      <c r="Q154" s="131"/>
      <c r="R154" s="131"/>
      <c r="S154" s="131"/>
      <c r="T154" s="131"/>
      <c r="U154" s="131"/>
      <c r="V154" s="131"/>
      <c r="W154" s="131"/>
    </row>
    <row r="155" spans="1:23" x14ac:dyDescent="0.25">
      <c r="A155" s="131"/>
      <c r="B155" s="131"/>
      <c r="C155" s="131"/>
      <c r="D155" s="131"/>
      <c r="E155" s="131"/>
      <c r="F155" s="131"/>
      <c r="G155" s="131"/>
      <c r="H155" s="131"/>
      <c r="I155" s="131"/>
      <c r="J155" s="131"/>
      <c r="K155" s="131"/>
      <c r="L155" s="131"/>
      <c r="M155" s="131"/>
      <c r="N155" s="131"/>
      <c r="O155" s="131"/>
      <c r="P155" s="131"/>
      <c r="Q155" s="131"/>
      <c r="R155" s="131"/>
      <c r="S155" s="131"/>
      <c r="T155" s="131"/>
      <c r="U155" s="131"/>
      <c r="V155" s="131"/>
      <c r="W155" s="131"/>
    </row>
    <row r="156" spans="1:23" x14ac:dyDescent="0.25">
      <c r="A156" s="131"/>
      <c r="B156" s="131"/>
      <c r="C156" s="131"/>
      <c r="D156" s="131"/>
      <c r="E156" s="131"/>
      <c r="F156" s="131"/>
      <c r="G156" s="131"/>
      <c r="H156" s="131"/>
      <c r="I156" s="131"/>
      <c r="J156" s="131"/>
      <c r="K156" s="131"/>
      <c r="L156" s="131"/>
      <c r="M156" s="131"/>
      <c r="N156" s="131"/>
      <c r="O156" s="131"/>
      <c r="P156" s="131"/>
      <c r="Q156" s="131"/>
      <c r="R156" s="131"/>
      <c r="S156" s="131"/>
      <c r="T156" s="131"/>
      <c r="U156" s="131"/>
      <c r="V156" s="131"/>
      <c r="W156" s="131"/>
    </row>
    <row r="157" spans="1:23" x14ac:dyDescent="0.25">
      <c r="A157" s="131"/>
      <c r="B157" s="131"/>
      <c r="C157" s="131"/>
      <c r="D157" s="131"/>
      <c r="E157" s="131"/>
      <c r="F157" s="131"/>
      <c r="G157" s="131"/>
      <c r="H157" s="131"/>
      <c r="I157" s="131"/>
      <c r="J157" s="131"/>
      <c r="K157" s="131"/>
      <c r="L157" s="131"/>
      <c r="M157" s="131"/>
      <c r="N157" s="131"/>
      <c r="O157" s="131"/>
      <c r="P157" s="131"/>
      <c r="Q157" s="131"/>
      <c r="R157" s="131"/>
      <c r="S157" s="131"/>
      <c r="T157" s="131"/>
      <c r="U157" s="131"/>
      <c r="V157" s="131"/>
      <c r="W157" s="131"/>
    </row>
    <row r="158" spans="1:23" x14ac:dyDescent="0.25">
      <c r="A158" s="131"/>
      <c r="B158" s="131"/>
      <c r="C158" s="131"/>
      <c r="D158" s="131"/>
      <c r="E158" s="131"/>
      <c r="F158" s="131"/>
      <c r="G158" s="131"/>
      <c r="H158" s="131"/>
      <c r="I158" s="131"/>
      <c r="J158" s="131"/>
      <c r="K158" s="131"/>
      <c r="L158" s="131"/>
      <c r="M158" s="131"/>
      <c r="N158" s="131"/>
      <c r="O158" s="131"/>
      <c r="P158" s="131"/>
      <c r="Q158" s="131"/>
      <c r="R158" s="131"/>
      <c r="S158" s="131"/>
      <c r="T158" s="131"/>
      <c r="U158" s="131"/>
      <c r="V158" s="131"/>
      <c r="W158" s="131"/>
    </row>
    <row r="159" spans="1:23" x14ac:dyDescent="0.25">
      <c r="A159" s="131"/>
      <c r="B159" s="131"/>
      <c r="C159" s="131"/>
      <c r="D159" s="131"/>
      <c r="E159" s="131"/>
      <c r="F159" s="131"/>
      <c r="G159" s="131"/>
      <c r="H159" s="131"/>
      <c r="I159" s="131"/>
      <c r="J159" s="131"/>
      <c r="K159" s="131"/>
      <c r="L159" s="131"/>
      <c r="M159" s="131"/>
      <c r="N159" s="131"/>
      <c r="O159" s="131"/>
      <c r="P159" s="131"/>
      <c r="Q159" s="131"/>
      <c r="R159" s="131"/>
      <c r="S159" s="131"/>
      <c r="T159" s="131"/>
      <c r="U159" s="131"/>
      <c r="V159" s="131"/>
      <c r="W159" s="131"/>
    </row>
    <row r="160" spans="1:23" x14ac:dyDescent="0.25">
      <c r="A160" s="131"/>
      <c r="B160" s="131"/>
      <c r="C160" s="131"/>
      <c r="D160" s="131"/>
      <c r="E160" s="131"/>
      <c r="F160" s="131"/>
      <c r="G160" s="131"/>
      <c r="H160" s="131"/>
      <c r="I160" s="131"/>
      <c r="J160" s="131"/>
      <c r="K160" s="131"/>
      <c r="L160" s="131"/>
      <c r="M160" s="131"/>
      <c r="N160" s="131"/>
      <c r="O160" s="131"/>
      <c r="P160" s="131"/>
      <c r="Q160" s="131"/>
      <c r="R160" s="131"/>
      <c r="S160" s="131"/>
      <c r="T160" s="131"/>
      <c r="U160" s="131"/>
      <c r="V160" s="131"/>
      <c r="W160" s="131"/>
    </row>
    <row r="161" spans="1:23" x14ac:dyDescent="0.25">
      <c r="A161" s="131"/>
      <c r="B161" s="131"/>
      <c r="C161" s="131"/>
      <c r="D161" s="131"/>
      <c r="E161" s="131"/>
      <c r="F161" s="131"/>
      <c r="G161" s="131"/>
      <c r="H161" s="131"/>
      <c r="I161" s="131"/>
      <c r="J161" s="131"/>
      <c r="K161" s="131"/>
      <c r="L161" s="131"/>
      <c r="M161" s="131"/>
      <c r="N161" s="131"/>
      <c r="O161" s="131"/>
      <c r="P161" s="131"/>
      <c r="Q161" s="131"/>
      <c r="R161" s="131"/>
      <c r="S161" s="131"/>
      <c r="T161" s="131"/>
      <c r="U161" s="131"/>
      <c r="V161" s="131"/>
      <c r="W161" s="131"/>
    </row>
    <row r="162" spans="1:23" x14ac:dyDescent="0.25">
      <c r="A162" s="131"/>
      <c r="B162" s="131"/>
      <c r="C162" s="131"/>
      <c r="D162" s="131"/>
      <c r="E162" s="131"/>
      <c r="F162" s="131"/>
      <c r="G162" s="131"/>
      <c r="H162" s="131"/>
      <c r="I162" s="131"/>
      <c r="J162" s="131"/>
      <c r="K162" s="131"/>
      <c r="L162" s="131"/>
      <c r="M162" s="131"/>
      <c r="N162" s="131"/>
      <c r="O162" s="131"/>
      <c r="P162" s="131"/>
      <c r="Q162" s="131"/>
      <c r="R162" s="131"/>
      <c r="S162" s="131"/>
      <c r="T162" s="131"/>
      <c r="U162" s="131"/>
      <c r="V162" s="131"/>
      <c r="W162" s="131"/>
    </row>
    <row r="163" spans="1:23" x14ac:dyDescent="0.25">
      <c r="A163" s="131"/>
      <c r="B163" s="131"/>
      <c r="C163" s="131"/>
      <c r="D163" s="131"/>
      <c r="E163" s="131"/>
      <c r="F163" s="131"/>
      <c r="G163" s="131"/>
      <c r="H163" s="131"/>
      <c r="I163" s="131"/>
      <c r="J163" s="131"/>
      <c r="K163" s="131"/>
      <c r="L163" s="131"/>
      <c r="M163" s="131"/>
      <c r="N163" s="131"/>
      <c r="O163" s="131"/>
      <c r="P163" s="131"/>
      <c r="Q163" s="131"/>
      <c r="R163" s="131"/>
      <c r="S163" s="131"/>
      <c r="T163" s="131"/>
      <c r="U163" s="131"/>
      <c r="V163" s="131"/>
      <c r="W163" s="131"/>
    </row>
    <row r="164" spans="1:23" x14ac:dyDescent="0.25">
      <c r="A164" s="131"/>
      <c r="B164" s="131"/>
      <c r="C164" s="131"/>
      <c r="D164" s="131"/>
      <c r="E164" s="131"/>
      <c r="F164" s="131"/>
      <c r="G164" s="131"/>
      <c r="H164" s="131"/>
      <c r="I164" s="131"/>
      <c r="J164" s="131"/>
      <c r="K164" s="131"/>
      <c r="L164" s="131"/>
      <c r="M164" s="131"/>
      <c r="N164" s="131"/>
      <c r="O164" s="131"/>
      <c r="P164" s="131"/>
      <c r="Q164" s="131"/>
      <c r="R164" s="131"/>
      <c r="S164" s="131"/>
      <c r="T164" s="131"/>
      <c r="U164" s="131"/>
      <c r="V164" s="131"/>
      <c r="W164" s="131"/>
    </row>
    <row r="165" spans="1:23" x14ac:dyDescent="0.25">
      <c r="A165" s="131"/>
      <c r="B165" s="131"/>
      <c r="C165" s="131"/>
      <c r="D165" s="131"/>
      <c r="E165" s="131"/>
      <c r="F165" s="131"/>
      <c r="G165" s="131"/>
      <c r="H165" s="131"/>
      <c r="I165" s="131"/>
      <c r="J165" s="131"/>
      <c r="K165" s="131"/>
      <c r="L165" s="131"/>
      <c r="M165" s="131"/>
      <c r="N165" s="131"/>
      <c r="O165" s="131"/>
      <c r="P165" s="131"/>
      <c r="Q165" s="131"/>
      <c r="R165" s="131"/>
      <c r="S165" s="131"/>
      <c r="T165" s="131"/>
      <c r="U165" s="131"/>
      <c r="V165" s="131"/>
      <c r="W165" s="131"/>
    </row>
    <row r="166" spans="1:23" x14ac:dyDescent="0.25">
      <c r="A166" s="131"/>
      <c r="B166" s="131"/>
      <c r="C166" s="131"/>
      <c r="D166" s="131"/>
      <c r="E166" s="131"/>
      <c r="F166" s="131"/>
      <c r="G166" s="131"/>
      <c r="H166" s="131"/>
      <c r="I166" s="131"/>
      <c r="J166" s="131"/>
      <c r="K166" s="131"/>
      <c r="L166" s="131"/>
      <c r="M166" s="131"/>
      <c r="N166" s="131"/>
      <c r="O166" s="131"/>
      <c r="P166" s="131"/>
      <c r="Q166" s="131"/>
      <c r="R166" s="131"/>
      <c r="S166" s="131"/>
      <c r="T166" s="131"/>
      <c r="U166" s="131"/>
      <c r="V166" s="131"/>
      <c r="W166" s="131"/>
    </row>
    <row r="167" spans="1:23" x14ac:dyDescent="0.25">
      <c r="A167" s="131"/>
      <c r="B167" s="131"/>
      <c r="C167" s="131"/>
      <c r="D167" s="131"/>
      <c r="E167" s="131"/>
      <c r="F167" s="131"/>
      <c r="G167" s="131"/>
      <c r="H167" s="131"/>
      <c r="I167" s="131"/>
      <c r="J167" s="131"/>
      <c r="K167" s="131"/>
      <c r="L167" s="131"/>
      <c r="M167" s="131"/>
      <c r="N167" s="131"/>
      <c r="O167" s="131"/>
      <c r="P167" s="131"/>
      <c r="Q167" s="131"/>
      <c r="R167" s="131"/>
      <c r="S167" s="131"/>
      <c r="T167" s="131"/>
      <c r="U167" s="131"/>
      <c r="V167" s="131"/>
      <c r="W167" s="131"/>
    </row>
    <row r="168" spans="1:23" x14ac:dyDescent="0.25">
      <c r="A168" s="131"/>
      <c r="B168" s="131"/>
      <c r="C168" s="131"/>
      <c r="D168" s="131"/>
      <c r="E168" s="131"/>
      <c r="F168" s="131"/>
      <c r="G168" s="131"/>
      <c r="H168" s="131"/>
      <c r="I168" s="131"/>
      <c r="J168" s="131"/>
      <c r="K168" s="131"/>
      <c r="L168" s="131"/>
      <c r="M168" s="131"/>
      <c r="N168" s="131"/>
      <c r="O168" s="131"/>
      <c r="P168" s="131"/>
      <c r="Q168" s="131"/>
      <c r="R168" s="131"/>
      <c r="S168" s="131"/>
      <c r="T168" s="131"/>
      <c r="U168" s="131"/>
      <c r="V168" s="131"/>
      <c r="W168" s="131"/>
    </row>
    <row r="169" spans="1:23" x14ac:dyDescent="0.25">
      <c r="A169" s="131"/>
      <c r="B169" s="131"/>
      <c r="C169" s="131"/>
      <c r="D169" s="131"/>
      <c r="E169" s="131"/>
      <c r="F169" s="131"/>
      <c r="G169" s="131"/>
      <c r="H169" s="131"/>
      <c r="I169" s="131"/>
      <c r="J169" s="131"/>
      <c r="K169" s="131"/>
      <c r="L169" s="131"/>
      <c r="M169" s="131"/>
      <c r="N169" s="131"/>
      <c r="O169" s="131"/>
      <c r="P169" s="131"/>
      <c r="Q169" s="131"/>
      <c r="R169" s="131"/>
      <c r="S169" s="131"/>
      <c r="T169" s="131"/>
      <c r="U169" s="131"/>
      <c r="V169" s="131"/>
      <c r="W169" s="131"/>
    </row>
    <row r="170" spans="1:23" x14ac:dyDescent="0.25">
      <c r="A170" s="131"/>
      <c r="B170" s="131"/>
      <c r="C170" s="131"/>
      <c r="D170" s="131"/>
      <c r="E170" s="131"/>
      <c r="F170" s="131"/>
      <c r="G170" s="131"/>
      <c r="H170" s="131"/>
      <c r="I170" s="131"/>
      <c r="J170" s="131"/>
      <c r="K170" s="131"/>
      <c r="L170" s="131"/>
      <c r="M170" s="131"/>
      <c r="N170" s="131"/>
      <c r="O170" s="131"/>
      <c r="P170" s="131"/>
      <c r="Q170" s="131"/>
      <c r="R170" s="131"/>
      <c r="S170" s="131"/>
      <c r="T170" s="131"/>
      <c r="U170" s="131"/>
      <c r="V170" s="131"/>
      <c r="W170" s="131"/>
    </row>
    <row r="171" spans="1:23" x14ac:dyDescent="0.25">
      <c r="A171" s="131"/>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row>
    <row r="172" spans="1:23" x14ac:dyDescent="0.25">
      <c r="A172" s="131"/>
      <c r="B172" s="131"/>
      <c r="C172" s="131"/>
      <c r="D172" s="131"/>
      <c r="E172" s="131"/>
      <c r="F172" s="131"/>
      <c r="G172" s="131"/>
      <c r="H172" s="131"/>
      <c r="I172" s="131"/>
      <c r="J172" s="131"/>
      <c r="K172" s="131"/>
      <c r="L172" s="131"/>
      <c r="M172" s="131"/>
      <c r="N172" s="131"/>
      <c r="O172" s="131"/>
      <c r="P172" s="131"/>
      <c r="Q172" s="131"/>
      <c r="R172" s="131"/>
      <c r="S172" s="131"/>
      <c r="T172" s="131"/>
      <c r="U172" s="131"/>
      <c r="V172" s="131"/>
      <c r="W172" s="131"/>
    </row>
    <row r="173" spans="1:23" x14ac:dyDescent="0.25">
      <c r="A173" s="131"/>
      <c r="B173" s="131"/>
      <c r="C173" s="131"/>
      <c r="D173" s="131"/>
      <c r="E173" s="131"/>
      <c r="F173" s="131"/>
      <c r="G173" s="131"/>
      <c r="H173" s="131"/>
      <c r="I173" s="131"/>
      <c r="J173" s="131"/>
      <c r="K173" s="131"/>
      <c r="L173" s="131"/>
      <c r="M173" s="131"/>
      <c r="N173" s="131"/>
      <c r="O173" s="131"/>
      <c r="P173" s="131"/>
      <c r="Q173" s="131"/>
      <c r="R173" s="131"/>
      <c r="S173" s="131"/>
      <c r="T173" s="131"/>
      <c r="U173" s="131"/>
      <c r="V173" s="131"/>
      <c r="W173" s="131"/>
    </row>
    <row r="174" spans="1:23" x14ac:dyDescent="0.25">
      <c r="A174" s="131"/>
      <c r="B174" s="131"/>
      <c r="C174" s="131"/>
      <c r="D174" s="131"/>
      <c r="E174" s="131"/>
      <c r="F174" s="131"/>
      <c r="G174" s="131"/>
      <c r="H174" s="131"/>
      <c r="I174" s="131"/>
      <c r="J174" s="131"/>
      <c r="K174" s="131"/>
      <c r="L174" s="131"/>
      <c r="M174" s="131"/>
      <c r="N174" s="131"/>
      <c r="O174" s="131"/>
      <c r="P174" s="131"/>
      <c r="Q174" s="131"/>
      <c r="R174" s="131"/>
      <c r="S174" s="131"/>
      <c r="T174" s="131"/>
      <c r="U174" s="131"/>
      <c r="V174" s="131"/>
      <c r="W174" s="131"/>
    </row>
    <row r="175" spans="1:23" x14ac:dyDescent="0.25">
      <c r="A175" s="131"/>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row>
    <row r="176" spans="1:23" x14ac:dyDescent="0.25">
      <c r="A176" s="131"/>
      <c r="B176" s="131"/>
      <c r="C176" s="131"/>
      <c r="D176" s="131"/>
      <c r="E176" s="131"/>
      <c r="F176" s="131"/>
      <c r="G176" s="131"/>
      <c r="H176" s="131"/>
      <c r="I176" s="131"/>
      <c r="J176" s="131"/>
      <c r="K176" s="131"/>
      <c r="L176" s="131"/>
      <c r="M176" s="131"/>
      <c r="N176" s="131"/>
      <c r="O176" s="131"/>
      <c r="P176" s="131"/>
      <c r="Q176" s="131"/>
      <c r="R176" s="131"/>
      <c r="S176" s="131"/>
      <c r="T176" s="131"/>
      <c r="U176" s="131"/>
      <c r="V176" s="131"/>
      <c r="W176" s="131"/>
    </row>
    <row r="177" spans="1:23" x14ac:dyDescent="0.25">
      <c r="A177" s="131"/>
      <c r="B177" s="131"/>
      <c r="C177" s="131"/>
      <c r="D177" s="131"/>
      <c r="E177" s="131"/>
      <c r="F177" s="131"/>
      <c r="G177" s="131"/>
      <c r="H177" s="131"/>
      <c r="I177" s="131"/>
      <c r="J177" s="131"/>
      <c r="K177" s="131"/>
      <c r="L177" s="131"/>
      <c r="M177" s="131"/>
      <c r="N177" s="131"/>
      <c r="O177" s="131"/>
      <c r="P177" s="131"/>
      <c r="Q177" s="131"/>
      <c r="R177" s="131"/>
      <c r="S177" s="131"/>
      <c r="T177" s="131"/>
      <c r="U177" s="131"/>
      <c r="V177" s="131"/>
      <c r="W177" s="131"/>
    </row>
    <row r="178" spans="1:23" x14ac:dyDescent="0.25">
      <c r="A178" s="131"/>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row>
    <row r="179" spans="1:23" x14ac:dyDescent="0.25">
      <c r="A179" s="131"/>
      <c r="B179" s="131"/>
      <c r="C179" s="131"/>
      <c r="D179" s="131"/>
      <c r="E179" s="131"/>
      <c r="F179" s="131"/>
      <c r="G179" s="131"/>
      <c r="H179" s="131"/>
      <c r="I179" s="131"/>
      <c r="J179" s="131"/>
      <c r="K179" s="131"/>
      <c r="L179" s="131"/>
      <c r="M179" s="131"/>
      <c r="N179" s="131"/>
      <c r="O179" s="131"/>
      <c r="P179" s="131"/>
      <c r="Q179" s="131"/>
      <c r="R179" s="131"/>
      <c r="S179" s="131"/>
      <c r="T179" s="131"/>
      <c r="U179" s="131"/>
      <c r="V179" s="131"/>
      <c r="W179" s="131"/>
    </row>
    <row r="180" spans="1:23" x14ac:dyDescent="0.25">
      <c r="A180" s="131"/>
      <c r="B180" s="131"/>
      <c r="C180" s="131"/>
      <c r="D180" s="131"/>
      <c r="E180" s="131"/>
      <c r="F180" s="131"/>
      <c r="G180" s="131"/>
      <c r="H180" s="131"/>
      <c r="I180" s="131"/>
      <c r="J180" s="131"/>
      <c r="K180" s="131"/>
      <c r="L180" s="131"/>
      <c r="M180" s="131"/>
      <c r="N180" s="131"/>
      <c r="O180" s="131"/>
      <c r="P180" s="131"/>
      <c r="Q180" s="131"/>
      <c r="R180" s="131"/>
      <c r="S180" s="131"/>
      <c r="T180" s="131"/>
      <c r="U180" s="131"/>
      <c r="V180" s="131"/>
      <c r="W180" s="131"/>
    </row>
    <row r="181" spans="1:23" x14ac:dyDescent="0.25">
      <c r="A181" s="131"/>
      <c r="B181" s="131"/>
      <c r="C181" s="131"/>
      <c r="D181" s="131"/>
      <c r="E181" s="131"/>
      <c r="F181" s="131"/>
      <c r="G181" s="131"/>
      <c r="H181" s="131"/>
      <c r="I181" s="131"/>
      <c r="J181" s="131"/>
      <c r="K181" s="131"/>
      <c r="L181" s="131"/>
      <c r="M181" s="131"/>
      <c r="N181" s="131"/>
      <c r="O181" s="131"/>
      <c r="P181" s="131"/>
      <c r="Q181" s="131"/>
      <c r="R181" s="131"/>
      <c r="S181" s="131"/>
      <c r="T181" s="131"/>
      <c r="U181" s="131"/>
      <c r="V181" s="131"/>
      <c r="W181" s="131"/>
    </row>
    <row r="182" spans="1:23" x14ac:dyDescent="0.25">
      <c r="A182" s="131"/>
      <c r="B182" s="131"/>
      <c r="C182" s="131"/>
      <c r="D182" s="131"/>
      <c r="E182" s="131"/>
      <c r="F182" s="131"/>
      <c r="G182" s="131"/>
      <c r="H182" s="131"/>
      <c r="I182" s="131"/>
      <c r="J182" s="131"/>
      <c r="K182" s="131"/>
      <c r="L182" s="131"/>
      <c r="M182" s="131"/>
      <c r="N182" s="131"/>
      <c r="O182" s="131"/>
      <c r="P182" s="131"/>
      <c r="Q182" s="131"/>
      <c r="R182" s="131"/>
      <c r="S182" s="131"/>
      <c r="T182" s="131"/>
      <c r="U182" s="131"/>
      <c r="V182" s="131"/>
      <c r="W182" s="131"/>
    </row>
    <row r="183" spans="1:23" x14ac:dyDescent="0.25">
      <c r="A183" s="131"/>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row>
    <row r="184" spans="1:23" x14ac:dyDescent="0.25">
      <c r="A184" s="131"/>
      <c r="B184" s="131"/>
      <c r="C184" s="131"/>
      <c r="D184" s="131"/>
      <c r="E184" s="131"/>
      <c r="F184" s="131"/>
      <c r="G184" s="131"/>
      <c r="H184" s="131"/>
      <c r="I184" s="131"/>
      <c r="J184" s="131"/>
      <c r="K184" s="131"/>
      <c r="L184" s="131"/>
      <c r="M184" s="131"/>
      <c r="N184" s="131"/>
      <c r="O184" s="131"/>
      <c r="P184" s="131"/>
      <c r="Q184" s="131"/>
      <c r="R184" s="131"/>
      <c r="S184" s="131"/>
      <c r="T184" s="131"/>
      <c r="U184" s="131"/>
      <c r="V184" s="131"/>
      <c r="W184" s="131"/>
    </row>
    <row r="185" spans="1:23" x14ac:dyDescent="0.25">
      <c r="A185" s="131"/>
      <c r="B185" s="131"/>
      <c r="C185" s="131"/>
      <c r="D185" s="131"/>
      <c r="E185" s="131"/>
      <c r="F185" s="131"/>
      <c r="G185" s="131"/>
      <c r="H185" s="131"/>
      <c r="I185" s="131"/>
      <c r="J185" s="131"/>
      <c r="K185" s="131"/>
      <c r="L185" s="131"/>
      <c r="M185" s="131"/>
      <c r="N185" s="131"/>
      <c r="O185" s="131"/>
      <c r="P185" s="131"/>
      <c r="Q185" s="131"/>
      <c r="R185" s="131"/>
      <c r="S185" s="131"/>
      <c r="T185" s="131"/>
      <c r="U185" s="131"/>
      <c r="V185" s="131"/>
      <c r="W185" s="131"/>
    </row>
    <row r="186" spans="1:23" x14ac:dyDescent="0.25">
      <c r="A186" s="131"/>
      <c r="B186" s="131"/>
      <c r="C186" s="131"/>
      <c r="D186" s="131"/>
      <c r="E186" s="131"/>
      <c r="F186" s="131"/>
      <c r="G186" s="131"/>
      <c r="H186" s="131"/>
      <c r="I186" s="131"/>
      <c r="J186" s="131"/>
      <c r="K186" s="131"/>
      <c r="L186" s="131"/>
      <c r="M186" s="131"/>
      <c r="N186" s="131"/>
      <c r="O186" s="131"/>
      <c r="P186" s="131"/>
      <c r="Q186" s="131"/>
      <c r="R186" s="131"/>
      <c r="S186" s="131"/>
      <c r="T186" s="131"/>
      <c r="U186" s="131"/>
      <c r="V186" s="131"/>
      <c r="W186" s="131"/>
    </row>
    <row r="187" spans="1:23" x14ac:dyDescent="0.25">
      <c r="A187" s="131"/>
      <c r="B187" s="131"/>
      <c r="C187" s="131"/>
      <c r="D187" s="131"/>
      <c r="E187" s="131"/>
      <c r="F187" s="131"/>
      <c r="G187" s="131"/>
      <c r="H187" s="131"/>
      <c r="I187" s="131"/>
      <c r="J187" s="131"/>
      <c r="K187" s="131"/>
      <c r="L187" s="131"/>
      <c r="M187" s="131"/>
      <c r="N187" s="131"/>
      <c r="O187" s="131"/>
      <c r="P187" s="131"/>
      <c r="Q187" s="131"/>
      <c r="R187" s="131"/>
      <c r="S187" s="131"/>
      <c r="T187" s="131"/>
      <c r="U187" s="131"/>
      <c r="V187" s="131"/>
      <c r="W187" s="131"/>
    </row>
    <row r="188" spans="1:23" x14ac:dyDescent="0.25">
      <c r="A188" s="131"/>
      <c r="B188" s="131"/>
      <c r="C188" s="131"/>
      <c r="D188" s="131"/>
      <c r="E188" s="131"/>
      <c r="F188" s="131"/>
      <c r="G188" s="131"/>
      <c r="H188" s="131"/>
      <c r="I188" s="131"/>
      <c r="J188" s="131"/>
      <c r="K188" s="131"/>
      <c r="L188" s="131"/>
      <c r="M188" s="131"/>
      <c r="N188" s="131"/>
      <c r="O188" s="131"/>
      <c r="P188" s="131"/>
      <c r="Q188" s="131"/>
      <c r="R188" s="131"/>
      <c r="S188" s="131"/>
      <c r="T188" s="131"/>
      <c r="U188" s="131"/>
      <c r="V188" s="131"/>
      <c r="W188" s="131"/>
    </row>
    <row r="189" spans="1:23" x14ac:dyDescent="0.25">
      <c r="A189" s="131"/>
      <c r="B189" s="131"/>
      <c r="C189" s="131"/>
      <c r="D189" s="131"/>
      <c r="E189" s="131"/>
      <c r="F189" s="131"/>
      <c r="G189" s="131"/>
      <c r="H189" s="131"/>
      <c r="I189" s="131"/>
      <c r="J189" s="131"/>
      <c r="K189" s="131"/>
      <c r="L189" s="131"/>
      <c r="M189" s="131"/>
      <c r="N189" s="131"/>
      <c r="O189" s="131"/>
      <c r="P189" s="131"/>
      <c r="Q189" s="131"/>
      <c r="R189" s="131"/>
      <c r="S189" s="131"/>
      <c r="T189" s="131"/>
      <c r="U189" s="131"/>
      <c r="V189" s="131"/>
      <c r="W189" s="131"/>
    </row>
    <row r="190" spans="1:23" x14ac:dyDescent="0.25">
      <c r="A190" s="131"/>
      <c r="B190" s="131"/>
      <c r="C190" s="131"/>
      <c r="D190" s="131"/>
      <c r="E190" s="131"/>
      <c r="F190" s="131"/>
      <c r="G190" s="131"/>
      <c r="H190" s="131"/>
      <c r="I190" s="131"/>
      <c r="J190" s="131"/>
      <c r="K190" s="131"/>
      <c r="L190" s="131"/>
      <c r="M190" s="131"/>
      <c r="N190" s="131"/>
      <c r="O190" s="131"/>
      <c r="P190" s="131"/>
      <c r="Q190" s="131"/>
      <c r="R190" s="131"/>
      <c r="S190" s="131"/>
      <c r="T190" s="131"/>
      <c r="U190" s="131"/>
      <c r="V190" s="131"/>
      <c r="W190" s="131"/>
    </row>
    <row r="191" spans="1:23" x14ac:dyDescent="0.25">
      <c r="A191" s="131"/>
      <c r="B191" s="131"/>
      <c r="C191" s="131"/>
      <c r="D191" s="131"/>
      <c r="E191" s="131"/>
      <c r="F191" s="131"/>
      <c r="G191" s="131"/>
      <c r="H191" s="131"/>
      <c r="I191" s="131"/>
      <c r="J191" s="131"/>
      <c r="K191" s="131"/>
      <c r="L191" s="131"/>
      <c r="M191" s="131"/>
      <c r="N191" s="131"/>
      <c r="O191" s="131"/>
      <c r="P191" s="131"/>
      <c r="Q191" s="131"/>
      <c r="R191" s="131"/>
      <c r="S191" s="131"/>
      <c r="T191" s="131"/>
      <c r="U191" s="131"/>
      <c r="V191" s="131"/>
      <c r="W191" s="131"/>
    </row>
    <row r="192" spans="1:23" x14ac:dyDescent="0.25">
      <c r="A192" s="131"/>
      <c r="B192" s="131"/>
      <c r="C192" s="131"/>
      <c r="D192" s="131"/>
      <c r="E192" s="131"/>
      <c r="F192" s="131"/>
      <c r="G192" s="131"/>
      <c r="H192" s="131"/>
      <c r="I192" s="131"/>
      <c r="J192" s="131"/>
      <c r="K192" s="131"/>
      <c r="L192" s="131"/>
      <c r="M192" s="131"/>
      <c r="N192" s="131"/>
      <c r="O192" s="131"/>
      <c r="P192" s="131"/>
      <c r="Q192" s="131"/>
      <c r="R192" s="131"/>
      <c r="S192" s="131"/>
      <c r="T192" s="131"/>
      <c r="U192" s="131"/>
      <c r="V192" s="131"/>
      <c r="W192" s="131"/>
    </row>
    <row r="193" spans="1:23" x14ac:dyDescent="0.25">
      <c r="A193" s="131"/>
      <c r="B193" s="131"/>
      <c r="C193" s="131"/>
      <c r="D193" s="131"/>
      <c r="E193" s="131"/>
      <c r="F193" s="131"/>
      <c r="G193" s="131"/>
      <c r="H193" s="131"/>
      <c r="I193" s="131"/>
      <c r="J193" s="131"/>
      <c r="K193" s="131"/>
      <c r="L193" s="131"/>
      <c r="M193" s="131"/>
      <c r="N193" s="131"/>
      <c r="O193" s="131"/>
      <c r="P193" s="131"/>
      <c r="Q193" s="131"/>
      <c r="R193" s="131"/>
      <c r="S193" s="131"/>
      <c r="T193" s="131"/>
      <c r="U193" s="131"/>
      <c r="V193" s="131"/>
      <c r="W193" s="131"/>
    </row>
    <row r="194" spans="1:23" x14ac:dyDescent="0.25">
      <c r="A194" s="131"/>
      <c r="B194" s="131"/>
      <c r="C194" s="131"/>
      <c r="D194" s="131"/>
      <c r="E194" s="131"/>
      <c r="F194" s="131"/>
      <c r="G194" s="131"/>
      <c r="H194" s="131"/>
      <c r="I194" s="131"/>
      <c r="J194" s="131"/>
      <c r="K194" s="131"/>
      <c r="L194" s="131"/>
      <c r="M194" s="131"/>
      <c r="N194" s="131"/>
      <c r="O194" s="131"/>
      <c r="P194" s="131"/>
      <c r="Q194" s="131"/>
      <c r="R194" s="131"/>
      <c r="S194" s="131"/>
      <c r="T194" s="131"/>
      <c r="U194" s="131"/>
      <c r="V194" s="131"/>
      <c r="W194" s="131"/>
    </row>
    <row r="195" spans="1:23" x14ac:dyDescent="0.25">
      <c r="A195" s="131"/>
      <c r="B195" s="131"/>
      <c r="C195" s="131"/>
      <c r="D195" s="131"/>
      <c r="E195" s="131"/>
      <c r="F195" s="131"/>
      <c r="G195" s="131"/>
      <c r="H195" s="131"/>
      <c r="I195" s="131"/>
      <c r="J195" s="131"/>
      <c r="K195" s="131"/>
      <c r="L195" s="131"/>
      <c r="M195" s="131"/>
      <c r="N195" s="131"/>
      <c r="O195" s="131"/>
      <c r="P195" s="131"/>
      <c r="Q195" s="131"/>
      <c r="R195" s="131"/>
      <c r="S195" s="131"/>
      <c r="T195" s="131"/>
      <c r="U195" s="131"/>
      <c r="V195" s="131"/>
      <c r="W195" s="131"/>
    </row>
    <row r="196" spans="1:23" x14ac:dyDescent="0.25">
      <c r="A196" s="131"/>
      <c r="B196" s="131"/>
      <c r="C196" s="131"/>
      <c r="D196" s="131"/>
      <c r="E196" s="131"/>
      <c r="F196" s="131"/>
      <c r="G196" s="131"/>
      <c r="H196" s="131"/>
      <c r="I196" s="131"/>
      <c r="J196" s="131"/>
      <c r="K196" s="131"/>
      <c r="L196" s="131"/>
      <c r="M196" s="131"/>
      <c r="N196" s="131"/>
      <c r="O196" s="131"/>
      <c r="P196" s="131"/>
      <c r="Q196" s="131"/>
      <c r="R196" s="131"/>
      <c r="S196" s="131"/>
      <c r="T196" s="131"/>
      <c r="U196" s="131"/>
      <c r="V196" s="131"/>
      <c r="W196" s="131"/>
    </row>
    <row r="197" spans="1:23" x14ac:dyDescent="0.25">
      <c r="A197" s="131"/>
      <c r="B197" s="131"/>
      <c r="C197" s="131"/>
      <c r="D197" s="131"/>
      <c r="E197" s="131"/>
      <c r="F197" s="131"/>
      <c r="G197" s="131"/>
      <c r="H197" s="131"/>
      <c r="I197" s="131"/>
      <c r="J197" s="131"/>
      <c r="K197" s="131"/>
      <c r="L197" s="131"/>
      <c r="M197" s="131"/>
      <c r="N197" s="131"/>
      <c r="O197" s="131"/>
      <c r="P197" s="131"/>
      <c r="Q197" s="131"/>
      <c r="R197" s="131"/>
      <c r="S197" s="131"/>
      <c r="T197" s="131"/>
      <c r="U197" s="131"/>
      <c r="V197" s="131"/>
      <c r="W197" s="131"/>
    </row>
    <row r="198" spans="1:23" x14ac:dyDescent="0.25">
      <c r="A198" s="131"/>
      <c r="B198" s="131"/>
      <c r="C198" s="131"/>
      <c r="D198" s="131"/>
      <c r="E198" s="131"/>
      <c r="F198" s="131"/>
      <c r="G198" s="131"/>
      <c r="H198" s="131"/>
      <c r="I198" s="131"/>
      <c r="J198" s="131"/>
      <c r="K198" s="131"/>
      <c r="L198" s="131"/>
      <c r="M198" s="131"/>
      <c r="N198" s="131"/>
      <c r="O198" s="131"/>
      <c r="P198" s="131"/>
      <c r="Q198" s="131"/>
      <c r="R198" s="131"/>
      <c r="S198" s="131"/>
      <c r="T198" s="131"/>
      <c r="U198" s="131"/>
      <c r="V198" s="131"/>
      <c r="W198" s="131"/>
    </row>
    <row r="199" spans="1:23" x14ac:dyDescent="0.25">
      <c r="A199" s="131"/>
      <c r="B199" s="131"/>
      <c r="C199" s="131"/>
      <c r="D199" s="131"/>
      <c r="E199" s="131"/>
      <c r="F199" s="131"/>
      <c r="G199" s="131"/>
      <c r="H199" s="131"/>
      <c r="I199" s="131"/>
      <c r="J199" s="131"/>
      <c r="K199" s="131"/>
      <c r="L199" s="131"/>
      <c r="M199" s="131"/>
      <c r="N199" s="131"/>
      <c r="O199" s="131"/>
      <c r="P199" s="131"/>
      <c r="Q199" s="131"/>
      <c r="R199" s="131"/>
      <c r="S199" s="131"/>
      <c r="T199" s="131"/>
      <c r="U199" s="131"/>
      <c r="V199" s="131"/>
      <c r="W199" s="131"/>
    </row>
    <row r="200" spans="1:23" x14ac:dyDescent="0.25">
      <c r="A200" s="131"/>
      <c r="B200" s="131"/>
      <c r="C200" s="131"/>
      <c r="D200" s="131"/>
      <c r="E200" s="131"/>
      <c r="F200" s="131"/>
      <c r="G200" s="131"/>
      <c r="H200" s="131"/>
      <c r="I200" s="131"/>
      <c r="J200" s="131"/>
      <c r="K200" s="131"/>
      <c r="L200" s="131"/>
      <c r="M200" s="131"/>
      <c r="N200" s="131"/>
      <c r="O200" s="131"/>
      <c r="P200" s="131"/>
      <c r="Q200" s="131"/>
      <c r="R200" s="131"/>
      <c r="S200" s="131"/>
      <c r="T200" s="131"/>
      <c r="U200" s="131"/>
      <c r="V200" s="131"/>
      <c r="W200" s="131"/>
    </row>
    <row r="201" spans="1:23" x14ac:dyDescent="0.25">
      <c r="A201" s="131"/>
      <c r="B201" s="131"/>
      <c r="C201" s="131"/>
      <c r="D201" s="131"/>
      <c r="E201" s="131"/>
      <c r="F201" s="131"/>
      <c r="G201" s="131"/>
      <c r="H201" s="131"/>
      <c r="I201" s="131"/>
      <c r="J201" s="131"/>
      <c r="K201" s="131"/>
      <c r="L201" s="131"/>
      <c r="M201" s="131"/>
      <c r="N201" s="131"/>
      <c r="O201" s="131"/>
      <c r="P201" s="131"/>
      <c r="Q201" s="131"/>
      <c r="R201" s="131"/>
      <c r="S201" s="131"/>
      <c r="T201" s="131"/>
      <c r="U201" s="131"/>
      <c r="V201" s="131"/>
      <c r="W201" s="131"/>
    </row>
    <row r="202" spans="1:23" x14ac:dyDescent="0.25">
      <c r="A202" s="131"/>
      <c r="B202" s="131"/>
      <c r="C202" s="131"/>
      <c r="D202" s="131"/>
      <c r="E202" s="131"/>
      <c r="F202" s="131"/>
      <c r="G202" s="131"/>
      <c r="H202" s="131"/>
      <c r="I202" s="131"/>
      <c r="J202" s="131"/>
      <c r="K202" s="131"/>
      <c r="L202" s="131"/>
      <c r="M202" s="131"/>
      <c r="N202" s="131"/>
      <c r="O202" s="131"/>
      <c r="P202" s="131"/>
      <c r="Q202" s="131"/>
      <c r="R202" s="131"/>
      <c r="S202" s="131"/>
      <c r="T202" s="131"/>
      <c r="U202" s="131"/>
      <c r="V202" s="131"/>
      <c r="W202" s="131"/>
    </row>
    <row r="203" spans="1:23" x14ac:dyDescent="0.25">
      <c r="A203" s="131"/>
      <c r="B203" s="131"/>
      <c r="C203" s="131"/>
      <c r="D203" s="131"/>
      <c r="E203" s="131"/>
      <c r="F203" s="131"/>
      <c r="G203" s="131"/>
      <c r="H203" s="131"/>
      <c r="I203" s="131"/>
      <c r="J203" s="131"/>
      <c r="K203" s="131"/>
      <c r="L203" s="131"/>
      <c r="M203" s="131"/>
      <c r="N203" s="131"/>
      <c r="O203" s="131"/>
      <c r="P203" s="131"/>
      <c r="Q203" s="131"/>
      <c r="R203" s="131"/>
      <c r="S203" s="131"/>
      <c r="T203" s="131"/>
      <c r="U203" s="131"/>
      <c r="V203" s="131"/>
      <c r="W203" s="131"/>
    </row>
    <row r="204" spans="1:23" x14ac:dyDescent="0.25">
      <c r="A204" s="131"/>
      <c r="B204" s="131"/>
      <c r="C204" s="131"/>
      <c r="D204" s="131"/>
      <c r="E204" s="131"/>
      <c r="F204" s="131"/>
      <c r="G204" s="131"/>
      <c r="H204" s="131"/>
      <c r="I204" s="131"/>
      <c r="J204" s="131"/>
      <c r="K204" s="131"/>
      <c r="L204" s="131"/>
      <c r="M204" s="131"/>
      <c r="N204" s="131"/>
      <c r="O204" s="131"/>
      <c r="P204" s="131"/>
      <c r="Q204" s="131"/>
      <c r="R204" s="131"/>
      <c r="S204" s="131"/>
      <c r="T204" s="131"/>
      <c r="U204" s="131"/>
      <c r="V204" s="131"/>
      <c r="W204" s="131"/>
    </row>
    <row r="205" spans="1:23" x14ac:dyDescent="0.25">
      <c r="A205" s="131"/>
      <c r="B205" s="131"/>
      <c r="C205" s="131"/>
      <c r="D205" s="131"/>
      <c r="E205" s="131"/>
      <c r="F205" s="131"/>
      <c r="G205" s="131"/>
      <c r="H205" s="131"/>
      <c r="I205" s="131"/>
      <c r="J205" s="131"/>
      <c r="K205" s="131"/>
      <c r="L205" s="131"/>
      <c r="M205" s="131"/>
      <c r="N205" s="131"/>
      <c r="O205" s="131"/>
      <c r="P205" s="131"/>
      <c r="Q205" s="131"/>
      <c r="R205" s="131"/>
      <c r="S205" s="131"/>
      <c r="T205" s="131"/>
      <c r="U205" s="131"/>
      <c r="V205" s="131"/>
      <c r="W205" s="131"/>
    </row>
    <row r="206" spans="1:23" x14ac:dyDescent="0.25">
      <c r="A206" s="131"/>
      <c r="B206" s="131"/>
      <c r="C206" s="131"/>
      <c r="D206" s="131"/>
      <c r="E206" s="131"/>
      <c r="F206" s="131"/>
      <c r="G206" s="131"/>
      <c r="H206" s="131"/>
      <c r="I206" s="131"/>
      <c r="J206" s="131"/>
      <c r="K206" s="131"/>
      <c r="L206" s="131"/>
      <c r="M206" s="131"/>
      <c r="N206" s="131"/>
      <c r="O206" s="131"/>
      <c r="P206" s="131"/>
      <c r="Q206" s="131"/>
      <c r="R206" s="131"/>
      <c r="S206" s="131"/>
      <c r="T206" s="131"/>
      <c r="U206" s="131"/>
      <c r="V206" s="131"/>
      <c r="W206" s="131"/>
    </row>
    <row r="207" spans="1:23" x14ac:dyDescent="0.25">
      <c r="A207" s="131"/>
      <c r="B207" s="131"/>
      <c r="C207" s="131"/>
      <c r="D207" s="131"/>
      <c r="E207" s="131"/>
      <c r="F207" s="131"/>
      <c r="G207" s="131"/>
      <c r="H207" s="131"/>
      <c r="I207" s="131"/>
      <c r="J207" s="131"/>
      <c r="K207" s="131"/>
      <c r="L207" s="131"/>
      <c r="M207" s="131"/>
      <c r="N207" s="131"/>
      <c r="O207" s="131"/>
      <c r="P207" s="131"/>
      <c r="Q207" s="131"/>
      <c r="R207" s="131"/>
      <c r="S207" s="131"/>
      <c r="T207" s="131"/>
      <c r="U207" s="131"/>
      <c r="V207" s="131"/>
      <c r="W207" s="131"/>
    </row>
    <row r="208" spans="1:23" x14ac:dyDescent="0.25">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1"/>
      <c r="W208" s="131"/>
    </row>
    <row r="209" spans="1:23" x14ac:dyDescent="0.25">
      <c r="A209" s="131"/>
      <c r="B209" s="131"/>
      <c r="C209" s="131"/>
      <c r="D209" s="131"/>
      <c r="E209" s="131"/>
      <c r="F209" s="131"/>
      <c r="G209" s="131"/>
      <c r="H209" s="131"/>
      <c r="I209" s="131"/>
      <c r="J209" s="131"/>
      <c r="K209" s="131"/>
      <c r="L209" s="131"/>
      <c r="M209" s="131"/>
      <c r="N209" s="131"/>
      <c r="O209" s="131"/>
      <c r="P209" s="131"/>
      <c r="Q209" s="131"/>
      <c r="R209" s="131"/>
      <c r="S209" s="131"/>
      <c r="T209" s="131"/>
      <c r="U209" s="131"/>
      <c r="V209" s="131"/>
      <c r="W209" s="131"/>
    </row>
    <row r="210" spans="1:23" x14ac:dyDescent="0.25">
      <c r="A210" s="131"/>
      <c r="B210" s="131"/>
      <c r="C210" s="131"/>
      <c r="D210" s="131"/>
      <c r="E210" s="131"/>
      <c r="F210" s="131"/>
      <c r="G210" s="131"/>
      <c r="H210" s="131"/>
      <c r="I210" s="131"/>
      <c r="J210" s="131"/>
      <c r="K210" s="131"/>
      <c r="L210" s="131"/>
      <c r="M210" s="131"/>
      <c r="N210" s="131"/>
      <c r="O210" s="131"/>
      <c r="P210" s="131"/>
      <c r="Q210" s="131"/>
      <c r="R210" s="131"/>
      <c r="S210" s="131"/>
      <c r="T210" s="131"/>
      <c r="U210" s="131"/>
      <c r="V210" s="131"/>
      <c r="W210" s="131"/>
    </row>
    <row r="211" spans="1:23" x14ac:dyDescent="0.25">
      <c r="A211" s="131"/>
      <c r="B211" s="131"/>
      <c r="C211" s="131"/>
      <c r="D211" s="131"/>
      <c r="E211" s="131"/>
      <c r="F211" s="131"/>
      <c r="G211" s="131"/>
      <c r="H211" s="131"/>
      <c r="I211" s="131"/>
      <c r="J211" s="131"/>
      <c r="K211" s="131"/>
      <c r="L211" s="131"/>
      <c r="M211" s="131"/>
      <c r="N211" s="131"/>
      <c r="O211" s="131"/>
      <c r="P211" s="131"/>
      <c r="Q211" s="131"/>
      <c r="R211" s="131"/>
      <c r="S211" s="131"/>
      <c r="T211" s="131"/>
      <c r="U211" s="131"/>
      <c r="V211" s="131"/>
      <c r="W211" s="131"/>
    </row>
    <row r="212" spans="1:23" x14ac:dyDescent="0.25">
      <c r="A212" s="131"/>
      <c r="B212" s="131"/>
      <c r="C212" s="131"/>
      <c r="D212" s="131"/>
      <c r="E212" s="131"/>
      <c r="F212" s="131"/>
      <c r="G212" s="131"/>
      <c r="H212" s="131"/>
      <c r="I212" s="131"/>
      <c r="J212" s="131"/>
      <c r="K212" s="131"/>
      <c r="L212" s="131"/>
      <c r="M212" s="131"/>
      <c r="N212" s="131"/>
      <c r="O212" s="131"/>
      <c r="P212" s="131"/>
      <c r="Q212" s="131"/>
      <c r="R212" s="131"/>
      <c r="S212" s="131"/>
      <c r="T212" s="131"/>
      <c r="U212" s="131"/>
      <c r="V212" s="131"/>
      <c r="W212" s="131"/>
    </row>
    <row r="213" spans="1:23" x14ac:dyDescent="0.25">
      <c r="A213" s="131"/>
      <c r="B213" s="131"/>
      <c r="C213" s="131"/>
      <c r="D213" s="131"/>
      <c r="E213" s="131"/>
      <c r="F213" s="131"/>
      <c r="G213" s="131"/>
      <c r="H213" s="131"/>
      <c r="I213" s="131"/>
      <c r="J213" s="131"/>
      <c r="K213" s="131"/>
      <c r="L213" s="131"/>
      <c r="M213" s="131"/>
      <c r="N213" s="131"/>
      <c r="O213" s="131"/>
      <c r="P213" s="131"/>
      <c r="Q213" s="131"/>
      <c r="R213" s="131"/>
      <c r="S213" s="131"/>
      <c r="T213" s="131"/>
      <c r="U213" s="131"/>
      <c r="V213" s="131"/>
      <c r="W213" s="131"/>
    </row>
    <row r="214" spans="1:23" x14ac:dyDescent="0.25">
      <c r="A214" s="131"/>
      <c r="B214" s="131"/>
      <c r="C214" s="131"/>
      <c r="D214" s="131"/>
      <c r="E214" s="131"/>
      <c r="F214" s="131"/>
      <c r="G214" s="131"/>
      <c r="H214" s="131"/>
      <c r="I214" s="131"/>
      <c r="J214" s="131"/>
      <c r="K214" s="131"/>
      <c r="L214" s="131"/>
      <c r="M214" s="131"/>
      <c r="N214" s="131"/>
      <c r="O214" s="131"/>
      <c r="P214" s="131"/>
      <c r="Q214" s="131"/>
      <c r="R214" s="131"/>
      <c r="S214" s="131"/>
      <c r="T214" s="131"/>
      <c r="U214" s="131"/>
      <c r="V214" s="131"/>
      <c r="W214" s="131"/>
    </row>
    <row r="215" spans="1:23" x14ac:dyDescent="0.25">
      <c r="A215" s="131"/>
      <c r="B215" s="131"/>
      <c r="C215" s="131"/>
      <c r="D215" s="131"/>
      <c r="E215" s="131"/>
      <c r="F215" s="131"/>
      <c r="G215" s="131"/>
      <c r="H215" s="131"/>
      <c r="I215" s="131"/>
      <c r="J215" s="131"/>
      <c r="K215" s="131"/>
      <c r="L215" s="131"/>
      <c r="M215" s="131"/>
      <c r="N215" s="131"/>
      <c r="O215" s="131"/>
      <c r="P215" s="131"/>
      <c r="Q215" s="131"/>
      <c r="R215" s="131"/>
      <c r="S215" s="131"/>
      <c r="T215" s="131"/>
      <c r="U215" s="131"/>
      <c r="V215" s="131"/>
      <c r="W215" s="131"/>
    </row>
    <row r="216" spans="1:23" x14ac:dyDescent="0.25">
      <c r="A216" s="131"/>
      <c r="B216" s="131"/>
      <c r="C216" s="131"/>
      <c r="D216" s="131"/>
      <c r="E216" s="131"/>
      <c r="F216" s="131"/>
      <c r="G216" s="131"/>
      <c r="H216" s="131"/>
      <c r="I216" s="131"/>
      <c r="J216" s="131"/>
      <c r="K216" s="131"/>
      <c r="L216" s="131"/>
      <c r="M216" s="131"/>
      <c r="N216" s="131"/>
      <c r="O216" s="131"/>
      <c r="P216" s="131"/>
      <c r="Q216" s="131"/>
      <c r="R216" s="131"/>
      <c r="S216" s="131"/>
      <c r="T216" s="131"/>
      <c r="U216" s="131"/>
      <c r="V216" s="131"/>
      <c r="W216" s="131"/>
    </row>
    <row r="217" spans="1:23" x14ac:dyDescent="0.25">
      <c r="A217" s="131"/>
      <c r="B217" s="131"/>
      <c r="C217" s="131"/>
      <c r="D217" s="131"/>
      <c r="E217" s="131"/>
      <c r="F217" s="131"/>
      <c r="G217" s="131"/>
      <c r="H217" s="131"/>
      <c r="I217" s="131"/>
      <c r="J217" s="131"/>
      <c r="K217" s="131"/>
      <c r="L217" s="131"/>
      <c r="M217" s="131"/>
      <c r="N217" s="131"/>
      <c r="O217" s="131"/>
      <c r="P217" s="131"/>
      <c r="Q217" s="131"/>
      <c r="R217" s="131"/>
      <c r="S217" s="131"/>
      <c r="T217" s="131"/>
      <c r="U217" s="131"/>
      <c r="V217" s="131"/>
      <c r="W217" s="131"/>
    </row>
    <row r="218" spans="1:23" x14ac:dyDescent="0.25">
      <c r="A218" s="131"/>
      <c r="B218" s="131"/>
      <c r="C218" s="131"/>
      <c r="D218" s="131"/>
      <c r="E218" s="131"/>
      <c r="F218" s="131"/>
      <c r="G218" s="131"/>
      <c r="H218" s="131"/>
      <c r="I218" s="131"/>
      <c r="J218" s="131"/>
      <c r="K218" s="131"/>
      <c r="L218" s="131"/>
      <c r="M218" s="131"/>
      <c r="N218" s="131"/>
      <c r="O218" s="131"/>
      <c r="P218" s="131"/>
      <c r="Q218" s="131"/>
      <c r="R218" s="131"/>
      <c r="S218" s="131"/>
      <c r="T218" s="131"/>
      <c r="U218" s="131"/>
      <c r="V218" s="131"/>
      <c r="W218" s="131"/>
    </row>
    <row r="219" spans="1:23" x14ac:dyDescent="0.25">
      <c r="A219" s="131"/>
      <c r="B219" s="131"/>
      <c r="C219" s="131"/>
      <c r="D219" s="131"/>
      <c r="E219" s="131"/>
      <c r="F219" s="131"/>
      <c r="G219" s="131"/>
      <c r="H219" s="131"/>
      <c r="I219" s="131"/>
      <c r="J219" s="131"/>
      <c r="K219" s="131"/>
      <c r="L219" s="131"/>
      <c r="M219" s="131"/>
      <c r="N219" s="131"/>
      <c r="O219" s="131"/>
      <c r="P219" s="131"/>
      <c r="Q219" s="131"/>
      <c r="R219" s="131"/>
      <c r="S219" s="131"/>
      <c r="T219" s="131"/>
      <c r="U219" s="131"/>
      <c r="V219" s="131"/>
      <c r="W219" s="131"/>
    </row>
    <row r="220" spans="1:23" x14ac:dyDescent="0.25">
      <c r="A220" s="131"/>
      <c r="B220" s="131"/>
      <c r="C220" s="131"/>
      <c r="D220" s="131"/>
      <c r="E220" s="131"/>
      <c r="F220" s="131"/>
      <c r="G220" s="131"/>
      <c r="H220" s="131"/>
      <c r="I220" s="131"/>
      <c r="J220" s="131"/>
      <c r="K220" s="131"/>
      <c r="L220" s="131"/>
      <c r="M220" s="131"/>
      <c r="N220" s="131"/>
      <c r="O220" s="131"/>
      <c r="P220" s="131"/>
      <c r="Q220" s="131"/>
      <c r="R220" s="131"/>
      <c r="S220" s="131"/>
      <c r="T220" s="131"/>
      <c r="U220" s="131"/>
      <c r="V220" s="131"/>
      <c r="W220" s="131"/>
    </row>
    <row r="221" spans="1:23" x14ac:dyDescent="0.25">
      <c r="A221" s="131"/>
      <c r="B221" s="131"/>
      <c r="C221" s="131"/>
      <c r="D221" s="131"/>
      <c r="E221" s="131"/>
      <c r="F221" s="131"/>
      <c r="G221" s="131"/>
      <c r="H221" s="131"/>
      <c r="I221" s="131"/>
      <c r="J221" s="131"/>
      <c r="K221" s="131"/>
      <c r="L221" s="131"/>
      <c r="M221" s="131"/>
      <c r="N221" s="131"/>
      <c r="O221" s="131"/>
      <c r="P221" s="131"/>
      <c r="Q221" s="131"/>
      <c r="R221" s="131"/>
      <c r="S221" s="131"/>
      <c r="T221" s="131"/>
      <c r="U221" s="131"/>
      <c r="V221" s="131"/>
      <c r="W221" s="131"/>
    </row>
    <row r="222" spans="1:23" x14ac:dyDescent="0.25">
      <c r="A222" s="131"/>
      <c r="B222" s="131"/>
      <c r="C222" s="131"/>
      <c r="D222" s="131"/>
      <c r="E222" s="131"/>
      <c r="F222" s="131"/>
      <c r="G222" s="131"/>
      <c r="H222" s="131"/>
      <c r="I222" s="131"/>
      <c r="J222" s="131"/>
      <c r="K222" s="131"/>
      <c r="L222" s="131"/>
      <c r="M222" s="131"/>
      <c r="N222" s="131"/>
      <c r="O222" s="131"/>
      <c r="P222" s="131"/>
      <c r="Q222" s="131"/>
      <c r="R222" s="131"/>
      <c r="S222" s="131"/>
      <c r="T222" s="131"/>
      <c r="U222" s="131"/>
      <c r="V222" s="131"/>
      <c r="W222" s="131"/>
    </row>
    <row r="223" spans="1:23" x14ac:dyDescent="0.25">
      <c r="A223" s="131"/>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row>
    <row r="224" spans="1:23" x14ac:dyDescent="0.25">
      <c r="A224" s="131"/>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row>
    <row r="225" spans="1:23" x14ac:dyDescent="0.25">
      <c r="A225" s="131"/>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row>
    <row r="226" spans="1:23" x14ac:dyDescent="0.25">
      <c r="A226" s="131"/>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row>
    <row r="227" spans="1:23" x14ac:dyDescent="0.25">
      <c r="A227" s="131"/>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row>
    <row r="228" spans="1:23" x14ac:dyDescent="0.25">
      <c r="A228" s="131"/>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row>
    <row r="229" spans="1:23" x14ac:dyDescent="0.25">
      <c r="A229" s="131"/>
      <c r="B229" s="131"/>
      <c r="C229" s="131"/>
      <c r="D229" s="131"/>
      <c r="E229" s="131"/>
      <c r="F229" s="131"/>
      <c r="G229" s="131"/>
      <c r="H229" s="131"/>
      <c r="I229" s="131"/>
      <c r="J229" s="131"/>
      <c r="K229" s="131"/>
      <c r="L229" s="131"/>
      <c r="M229" s="131"/>
      <c r="N229" s="131"/>
      <c r="O229" s="131"/>
      <c r="P229" s="131"/>
      <c r="Q229" s="131"/>
      <c r="R229" s="131"/>
      <c r="S229" s="131"/>
      <c r="T229" s="131"/>
      <c r="U229" s="131"/>
      <c r="V229" s="131"/>
      <c r="W229" s="131"/>
    </row>
    <row r="230" spans="1:23" x14ac:dyDescent="0.25">
      <c r="A230" s="131"/>
      <c r="B230" s="131"/>
      <c r="C230" s="131"/>
      <c r="D230" s="131"/>
      <c r="E230" s="131"/>
      <c r="F230" s="131"/>
      <c r="G230" s="131"/>
      <c r="H230" s="131"/>
      <c r="I230" s="131"/>
      <c r="J230" s="131"/>
      <c r="K230" s="131"/>
      <c r="L230" s="131"/>
      <c r="M230" s="131"/>
      <c r="N230" s="131"/>
      <c r="O230" s="131"/>
      <c r="P230" s="131"/>
      <c r="Q230" s="131"/>
      <c r="R230" s="131"/>
      <c r="S230" s="131"/>
      <c r="T230" s="131"/>
      <c r="U230" s="131"/>
      <c r="V230" s="131"/>
      <c r="W230" s="131"/>
    </row>
    <row r="231" spans="1:23" x14ac:dyDescent="0.25">
      <c r="A231" s="131"/>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row>
    <row r="232" spans="1:23" x14ac:dyDescent="0.25">
      <c r="A232" s="131"/>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row>
    <row r="233" spans="1:23" x14ac:dyDescent="0.25">
      <c r="A233" s="131"/>
      <c r="B233" s="131"/>
      <c r="C233" s="131"/>
      <c r="D233" s="131"/>
      <c r="E233" s="131"/>
      <c r="F233" s="131"/>
      <c r="G233" s="131"/>
      <c r="H233" s="131"/>
      <c r="I233" s="131"/>
      <c r="J233" s="131"/>
      <c r="K233" s="131"/>
      <c r="L233" s="131"/>
      <c r="M233" s="131"/>
      <c r="N233" s="131"/>
      <c r="O233" s="131"/>
      <c r="P233" s="131"/>
      <c r="Q233" s="131"/>
      <c r="R233" s="131"/>
      <c r="S233" s="131"/>
      <c r="T233" s="131"/>
      <c r="U233" s="131"/>
      <c r="V233" s="131"/>
      <c r="W233" s="131"/>
    </row>
    <row r="234" spans="1:23" x14ac:dyDescent="0.25">
      <c r="A234" s="131"/>
      <c r="B234" s="131"/>
      <c r="C234" s="131"/>
      <c r="D234" s="131"/>
      <c r="E234" s="131"/>
      <c r="F234" s="131"/>
      <c r="G234" s="131"/>
      <c r="H234" s="131"/>
      <c r="I234" s="131"/>
      <c r="J234" s="131"/>
      <c r="K234" s="131"/>
      <c r="L234" s="131"/>
      <c r="M234" s="131"/>
      <c r="N234" s="131"/>
      <c r="O234" s="131"/>
      <c r="P234" s="131"/>
      <c r="Q234" s="131"/>
      <c r="R234" s="131"/>
      <c r="S234" s="131"/>
      <c r="T234" s="131"/>
      <c r="U234" s="131"/>
      <c r="V234" s="131"/>
      <c r="W234" s="131"/>
    </row>
    <row r="235" spans="1:23" x14ac:dyDescent="0.25">
      <c r="A235" s="131"/>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row>
    <row r="236" spans="1:23" x14ac:dyDescent="0.25">
      <c r="A236" s="131"/>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row>
    <row r="237" spans="1:23" x14ac:dyDescent="0.25">
      <c r="A237" s="131"/>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row>
    <row r="238" spans="1:23" x14ac:dyDescent="0.25">
      <c r="A238" s="131"/>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row>
    <row r="239" spans="1:23" x14ac:dyDescent="0.25">
      <c r="A239" s="131"/>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row>
    <row r="240" spans="1:23" x14ac:dyDescent="0.25">
      <c r="A240" s="131"/>
      <c r="B240" s="131"/>
      <c r="C240" s="131"/>
      <c r="D240" s="131"/>
      <c r="E240" s="131"/>
      <c r="F240" s="131"/>
      <c r="G240" s="131"/>
      <c r="H240" s="131"/>
      <c r="I240" s="131"/>
      <c r="J240" s="131"/>
      <c r="K240" s="131"/>
      <c r="L240" s="131"/>
      <c r="M240" s="131"/>
      <c r="N240" s="131"/>
      <c r="O240" s="131"/>
      <c r="P240" s="131"/>
      <c r="Q240" s="131"/>
      <c r="R240" s="131"/>
      <c r="S240" s="131"/>
      <c r="T240" s="131"/>
      <c r="U240" s="131"/>
      <c r="V240" s="131"/>
      <c r="W240" s="131"/>
    </row>
    <row r="241" spans="1:23" x14ac:dyDescent="0.25">
      <c r="A241" s="131"/>
      <c r="B241" s="131"/>
      <c r="C241" s="131"/>
      <c r="D241" s="131"/>
      <c r="E241" s="131"/>
      <c r="F241" s="131"/>
      <c r="G241" s="131"/>
      <c r="H241" s="131"/>
      <c r="I241" s="131"/>
      <c r="J241" s="131"/>
      <c r="K241" s="131"/>
      <c r="L241" s="131"/>
      <c r="M241" s="131"/>
      <c r="N241" s="131"/>
      <c r="O241" s="131"/>
      <c r="P241" s="131"/>
      <c r="Q241" s="131"/>
      <c r="R241" s="131"/>
      <c r="S241" s="131"/>
      <c r="T241" s="131"/>
      <c r="U241" s="131"/>
      <c r="V241" s="131"/>
      <c r="W241" s="131"/>
    </row>
    <row r="242" spans="1:23" x14ac:dyDescent="0.25">
      <c r="A242" s="131"/>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row>
    <row r="243" spans="1:23" x14ac:dyDescent="0.25">
      <c r="A243" s="131"/>
      <c r="B243" s="131"/>
      <c r="C243" s="131"/>
      <c r="D243" s="131"/>
      <c r="E243" s="131"/>
      <c r="F243" s="131"/>
      <c r="G243" s="131"/>
      <c r="H243" s="131"/>
      <c r="I243" s="131"/>
      <c r="J243" s="131"/>
      <c r="K243" s="131"/>
      <c r="L243" s="131"/>
      <c r="M243" s="131"/>
      <c r="N243" s="131"/>
      <c r="O243" s="131"/>
      <c r="P243" s="131"/>
      <c r="Q243" s="131"/>
      <c r="R243" s="131"/>
      <c r="S243" s="131"/>
      <c r="T243" s="131"/>
      <c r="U243" s="131"/>
      <c r="V243" s="131"/>
      <c r="W243" s="131"/>
    </row>
    <row r="244" spans="1:23" x14ac:dyDescent="0.25">
      <c r="A244" s="131"/>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row>
    <row r="245" spans="1:23" x14ac:dyDescent="0.25">
      <c r="A245" s="131"/>
      <c r="B245" s="131"/>
      <c r="C245" s="131"/>
      <c r="D245" s="131"/>
      <c r="E245" s="131"/>
      <c r="F245" s="131"/>
      <c r="G245" s="131"/>
      <c r="H245" s="131"/>
      <c r="I245" s="131"/>
      <c r="J245" s="131"/>
      <c r="K245" s="131"/>
      <c r="L245" s="131"/>
      <c r="M245" s="131"/>
      <c r="N245" s="131"/>
      <c r="O245" s="131"/>
      <c r="P245" s="131"/>
      <c r="Q245" s="131"/>
      <c r="R245" s="131"/>
      <c r="S245" s="131"/>
      <c r="T245" s="131"/>
      <c r="U245" s="131"/>
      <c r="V245" s="131"/>
      <c r="W245" s="131"/>
    </row>
    <row r="246" spans="1:23" x14ac:dyDescent="0.25">
      <c r="A246" s="131"/>
      <c r="B246" s="131"/>
      <c r="C246" s="131"/>
      <c r="D246" s="131"/>
      <c r="E246" s="131"/>
      <c r="F246" s="131"/>
      <c r="G246" s="131"/>
      <c r="H246" s="131"/>
      <c r="I246" s="131"/>
      <c r="J246" s="131"/>
      <c r="K246" s="131"/>
      <c r="L246" s="131"/>
      <c r="M246" s="131"/>
      <c r="N246" s="131"/>
      <c r="O246" s="131"/>
      <c r="P246" s="131"/>
      <c r="Q246" s="131"/>
      <c r="R246" s="131"/>
      <c r="S246" s="131"/>
      <c r="T246" s="131"/>
      <c r="U246" s="131"/>
      <c r="V246" s="131"/>
      <c r="W246" s="131"/>
    </row>
    <row r="247" spans="1:23" x14ac:dyDescent="0.25">
      <c r="A247" s="131"/>
      <c r="B247" s="131"/>
      <c r="C247" s="131"/>
      <c r="D247" s="131"/>
      <c r="E247" s="131"/>
      <c r="F247" s="131"/>
      <c r="G247" s="131"/>
      <c r="H247" s="131"/>
      <c r="I247" s="131"/>
      <c r="J247" s="131"/>
      <c r="K247" s="131"/>
      <c r="L247" s="131"/>
      <c r="M247" s="131"/>
      <c r="N247" s="131"/>
      <c r="O247" s="131"/>
      <c r="P247" s="131"/>
      <c r="Q247" s="131"/>
      <c r="R247" s="131"/>
      <c r="S247" s="131"/>
      <c r="T247" s="131"/>
      <c r="U247" s="131"/>
      <c r="V247" s="131"/>
      <c r="W247" s="131"/>
    </row>
    <row r="248" spans="1:23" x14ac:dyDescent="0.25">
      <c r="A248" s="131"/>
      <c r="B248" s="131"/>
      <c r="C248" s="131"/>
      <c r="D248" s="131"/>
      <c r="E248" s="131"/>
      <c r="F248" s="131"/>
      <c r="G248" s="131"/>
      <c r="H248" s="131"/>
      <c r="I248" s="131"/>
      <c r="J248" s="131"/>
      <c r="K248" s="131"/>
      <c r="L248" s="131"/>
      <c r="M248" s="131"/>
      <c r="N248" s="131"/>
      <c r="O248" s="131"/>
      <c r="P248" s="131"/>
      <c r="Q248" s="131"/>
      <c r="R248" s="131"/>
      <c r="S248" s="131"/>
      <c r="T248" s="131"/>
      <c r="U248" s="131"/>
      <c r="V248" s="131"/>
      <c r="W248" s="131"/>
    </row>
    <row r="249" spans="1:23" x14ac:dyDescent="0.25">
      <c r="A249" s="131"/>
      <c r="B249" s="131"/>
      <c r="C249" s="131"/>
      <c r="D249" s="131"/>
      <c r="E249" s="131"/>
      <c r="F249" s="131"/>
      <c r="G249" s="131"/>
      <c r="H249" s="131"/>
      <c r="I249" s="131"/>
      <c r="J249" s="131"/>
      <c r="K249" s="131"/>
      <c r="L249" s="131"/>
      <c r="M249" s="131"/>
      <c r="N249" s="131"/>
      <c r="O249" s="131"/>
      <c r="P249" s="131"/>
      <c r="Q249" s="131"/>
      <c r="R249" s="131"/>
      <c r="S249" s="131"/>
      <c r="T249" s="131"/>
      <c r="U249" s="131"/>
      <c r="V249" s="131"/>
      <c r="W249" s="131"/>
    </row>
    <row r="250" spans="1:23" x14ac:dyDescent="0.25">
      <c r="A250" s="131"/>
      <c r="B250" s="131"/>
      <c r="C250" s="131"/>
      <c r="D250" s="131"/>
      <c r="E250" s="131"/>
      <c r="F250" s="131"/>
      <c r="G250" s="131"/>
      <c r="H250" s="131"/>
      <c r="I250" s="131"/>
      <c r="J250" s="131"/>
      <c r="K250" s="131"/>
      <c r="L250" s="131"/>
      <c r="M250" s="131"/>
      <c r="N250" s="131"/>
      <c r="O250" s="131"/>
      <c r="P250" s="131"/>
      <c r="Q250" s="131"/>
      <c r="R250" s="131"/>
      <c r="S250" s="131"/>
      <c r="T250" s="131"/>
      <c r="U250" s="131"/>
      <c r="V250" s="131"/>
      <c r="W250" s="131"/>
    </row>
    <row r="251" spans="1:23" x14ac:dyDescent="0.25">
      <c r="A251" s="131"/>
      <c r="B251" s="131"/>
      <c r="C251" s="131"/>
      <c r="D251" s="131"/>
      <c r="E251" s="131"/>
      <c r="F251" s="131"/>
      <c r="G251" s="131"/>
      <c r="H251" s="131"/>
      <c r="I251" s="131"/>
      <c r="J251" s="131"/>
      <c r="K251" s="131"/>
      <c r="L251" s="131"/>
      <c r="M251" s="131"/>
      <c r="N251" s="131"/>
      <c r="O251" s="131"/>
      <c r="P251" s="131"/>
      <c r="Q251" s="131"/>
      <c r="R251" s="131"/>
      <c r="S251" s="131"/>
      <c r="T251" s="131"/>
      <c r="U251" s="131"/>
      <c r="V251" s="131"/>
      <c r="W251" s="131"/>
    </row>
    <row r="252" spans="1:23" x14ac:dyDescent="0.25">
      <c r="A252" s="131"/>
      <c r="B252" s="131"/>
      <c r="C252" s="131"/>
      <c r="D252" s="131"/>
      <c r="E252" s="131"/>
      <c r="F252" s="131"/>
      <c r="G252" s="131"/>
      <c r="H252" s="131"/>
      <c r="I252" s="131"/>
      <c r="J252" s="131"/>
      <c r="K252" s="131"/>
      <c r="L252" s="131"/>
      <c r="M252" s="131"/>
      <c r="N252" s="131"/>
      <c r="O252" s="131"/>
      <c r="P252" s="131"/>
      <c r="Q252" s="131"/>
      <c r="R252" s="131"/>
      <c r="S252" s="131"/>
      <c r="T252" s="131"/>
      <c r="U252" s="131"/>
      <c r="V252" s="131"/>
      <c r="W252" s="131"/>
    </row>
    <row r="253" spans="1:23" x14ac:dyDescent="0.25">
      <c r="A253" s="131"/>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row>
    <row r="254" spans="1:23" x14ac:dyDescent="0.25">
      <c r="A254" s="131"/>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row>
    <row r="255" spans="1:23" x14ac:dyDescent="0.25">
      <c r="A255" s="131"/>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row>
    <row r="256" spans="1:23" x14ac:dyDescent="0.25">
      <c r="A256" s="131"/>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row>
    <row r="257" spans="1:23" x14ac:dyDescent="0.25">
      <c r="A257" s="131"/>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row>
    <row r="258" spans="1:23" x14ac:dyDescent="0.25">
      <c r="A258" s="131"/>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row>
    <row r="259" spans="1:23" x14ac:dyDescent="0.25">
      <c r="A259" s="131"/>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row>
    <row r="260" spans="1:23" x14ac:dyDescent="0.25">
      <c r="A260" s="131"/>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row>
    <row r="261" spans="1:23" x14ac:dyDescent="0.25">
      <c r="A261" s="131"/>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row>
    <row r="262" spans="1:23" x14ac:dyDescent="0.25">
      <c r="A262" s="131"/>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row>
    <row r="263" spans="1:23" x14ac:dyDescent="0.25">
      <c r="A263" s="131"/>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row>
    <row r="264" spans="1:23" x14ac:dyDescent="0.25">
      <c r="A264" s="131"/>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row>
    <row r="265" spans="1:23" x14ac:dyDescent="0.25">
      <c r="A265" s="131"/>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row>
    <row r="266" spans="1:23" x14ac:dyDescent="0.25">
      <c r="A266" s="131"/>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row>
    <row r="267" spans="1:23" x14ac:dyDescent="0.25">
      <c r="A267" s="131"/>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row>
    <row r="268" spans="1:23" x14ac:dyDescent="0.25">
      <c r="A268" s="131"/>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row>
    <row r="269" spans="1:23" x14ac:dyDescent="0.25">
      <c r="A269" s="131"/>
      <c r="B269" s="131"/>
      <c r="C269" s="131"/>
      <c r="D269" s="131"/>
      <c r="E269" s="131"/>
      <c r="F269" s="131"/>
      <c r="G269" s="131"/>
      <c r="H269" s="131"/>
      <c r="I269" s="131"/>
      <c r="J269" s="131"/>
      <c r="K269" s="131"/>
      <c r="L269" s="131"/>
      <c r="M269" s="131"/>
      <c r="N269" s="131"/>
      <c r="O269" s="131"/>
      <c r="P269" s="131"/>
      <c r="Q269" s="131"/>
      <c r="R269" s="131"/>
      <c r="S269" s="131"/>
      <c r="T269" s="131"/>
      <c r="U269" s="131"/>
      <c r="V269" s="131"/>
      <c r="W269" s="131"/>
    </row>
    <row r="270" spans="1:23" x14ac:dyDescent="0.25">
      <c r="A270" s="131"/>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row>
    <row r="271" spans="1:23" x14ac:dyDescent="0.25">
      <c r="A271" s="131"/>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row>
    <row r="272" spans="1:23" x14ac:dyDescent="0.25">
      <c r="A272" s="131"/>
      <c r="B272" s="131"/>
      <c r="C272" s="131"/>
      <c r="D272" s="131"/>
      <c r="E272" s="131"/>
      <c r="F272" s="131"/>
      <c r="G272" s="131"/>
      <c r="H272" s="131"/>
      <c r="I272" s="131"/>
      <c r="J272" s="131"/>
      <c r="K272" s="131"/>
      <c r="L272" s="131"/>
      <c r="M272" s="131"/>
      <c r="N272" s="131"/>
      <c r="O272" s="131"/>
      <c r="P272" s="131"/>
      <c r="Q272" s="131"/>
      <c r="R272" s="131"/>
      <c r="S272" s="131"/>
      <c r="T272" s="131"/>
      <c r="U272" s="131"/>
      <c r="V272" s="131"/>
      <c r="W272" s="131"/>
    </row>
    <row r="273" spans="1:23" x14ac:dyDescent="0.25">
      <c r="A273" s="131"/>
      <c r="B273" s="131"/>
      <c r="C273" s="131"/>
      <c r="D273" s="131"/>
      <c r="E273" s="131"/>
      <c r="F273" s="131"/>
      <c r="G273" s="131"/>
      <c r="H273" s="131"/>
      <c r="I273" s="131"/>
      <c r="J273" s="131"/>
      <c r="K273" s="131"/>
      <c r="L273" s="131"/>
      <c r="M273" s="131"/>
      <c r="N273" s="131"/>
      <c r="O273" s="131"/>
      <c r="P273" s="131"/>
      <c r="Q273" s="131"/>
      <c r="R273" s="131"/>
      <c r="S273" s="131"/>
      <c r="T273" s="131"/>
      <c r="U273" s="131"/>
      <c r="V273" s="131"/>
      <c r="W273" s="131"/>
    </row>
    <row r="274" spans="1:23" x14ac:dyDescent="0.25">
      <c r="A274" s="131"/>
      <c r="B274" s="131"/>
      <c r="C274" s="131"/>
      <c r="D274" s="131"/>
      <c r="E274" s="131"/>
      <c r="F274" s="131"/>
      <c r="G274" s="131"/>
      <c r="H274" s="131"/>
      <c r="I274" s="131"/>
      <c r="J274" s="131"/>
      <c r="K274" s="131"/>
      <c r="L274" s="131"/>
      <c r="M274" s="131"/>
      <c r="N274" s="131"/>
      <c r="O274" s="131"/>
      <c r="P274" s="131"/>
      <c r="Q274" s="131"/>
      <c r="R274" s="131"/>
      <c r="S274" s="131"/>
      <c r="T274" s="131"/>
      <c r="U274" s="131"/>
      <c r="V274" s="131"/>
      <c r="W274" s="131"/>
    </row>
    <row r="275" spans="1:23" x14ac:dyDescent="0.25">
      <c r="A275" s="131"/>
      <c r="B275" s="131"/>
      <c r="C275" s="131"/>
      <c r="D275" s="131"/>
      <c r="E275" s="131"/>
      <c r="F275" s="131"/>
      <c r="G275" s="131"/>
      <c r="H275" s="131"/>
      <c r="I275" s="131"/>
      <c r="J275" s="131"/>
      <c r="K275" s="131"/>
      <c r="L275" s="131"/>
      <c r="M275" s="131"/>
      <c r="N275" s="131"/>
      <c r="O275" s="131"/>
      <c r="P275" s="131"/>
      <c r="Q275" s="131"/>
      <c r="R275" s="131"/>
      <c r="S275" s="131"/>
      <c r="T275" s="131"/>
      <c r="U275" s="131"/>
      <c r="V275" s="131"/>
      <c r="W275" s="131"/>
    </row>
    <row r="276" spans="1:23" x14ac:dyDescent="0.25">
      <c r="A276" s="131"/>
      <c r="B276" s="131"/>
      <c r="C276" s="131"/>
      <c r="D276" s="131"/>
      <c r="E276" s="131"/>
      <c r="F276" s="131"/>
      <c r="G276" s="131"/>
      <c r="H276" s="131"/>
      <c r="I276" s="131"/>
      <c r="J276" s="131"/>
      <c r="K276" s="131"/>
      <c r="L276" s="131"/>
      <c r="M276" s="131"/>
      <c r="N276" s="131"/>
      <c r="O276" s="131"/>
      <c r="P276" s="131"/>
      <c r="Q276" s="131"/>
      <c r="R276" s="131"/>
      <c r="S276" s="131"/>
      <c r="T276" s="131"/>
      <c r="U276" s="131"/>
      <c r="V276" s="131"/>
      <c r="W276" s="131"/>
    </row>
    <row r="277" spans="1:23" x14ac:dyDescent="0.25">
      <c r="A277" s="131"/>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row>
    <row r="278" spans="1:23" x14ac:dyDescent="0.25">
      <c r="A278" s="131"/>
      <c r="B278" s="131"/>
      <c r="C278" s="131"/>
      <c r="D278" s="131"/>
      <c r="E278" s="131"/>
      <c r="F278" s="131"/>
      <c r="G278" s="131"/>
      <c r="H278" s="131"/>
      <c r="I278" s="131"/>
      <c r="J278" s="131"/>
      <c r="K278" s="131"/>
      <c r="L278" s="131"/>
      <c r="M278" s="131"/>
      <c r="N278" s="131"/>
      <c r="O278" s="131"/>
      <c r="P278" s="131"/>
      <c r="Q278" s="131"/>
      <c r="R278" s="131"/>
      <c r="S278" s="131"/>
      <c r="T278" s="131"/>
      <c r="U278" s="131"/>
      <c r="V278" s="131"/>
      <c r="W278" s="131"/>
    </row>
    <row r="279" spans="1:23" x14ac:dyDescent="0.25">
      <c r="A279" s="131"/>
      <c r="B279" s="131"/>
      <c r="C279" s="131"/>
      <c r="D279" s="131"/>
      <c r="E279" s="131"/>
      <c r="F279" s="131"/>
      <c r="G279" s="131"/>
      <c r="H279" s="131"/>
      <c r="I279" s="131"/>
      <c r="J279" s="131"/>
      <c r="K279" s="131"/>
      <c r="L279" s="131"/>
      <c r="M279" s="131"/>
      <c r="N279" s="131"/>
      <c r="O279" s="131"/>
      <c r="P279" s="131"/>
      <c r="Q279" s="131"/>
      <c r="R279" s="131"/>
      <c r="S279" s="131"/>
      <c r="T279" s="131"/>
      <c r="U279" s="131"/>
      <c r="V279" s="131"/>
      <c r="W279" s="131"/>
    </row>
    <row r="280" spans="1:23" x14ac:dyDescent="0.25">
      <c r="A280" s="131"/>
      <c r="B280" s="131"/>
      <c r="C280" s="131"/>
      <c r="D280" s="131"/>
      <c r="E280" s="131"/>
      <c r="F280" s="131"/>
      <c r="G280" s="131"/>
      <c r="H280" s="131"/>
      <c r="I280" s="131"/>
      <c r="J280" s="131"/>
      <c r="K280" s="131"/>
      <c r="L280" s="131"/>
      <c r="M280" s="131"/>
      <c r="N280" s="131"/>
      <c r="O280" s="131"/>
      <c r="P280" s="131"/>
      <c r="Q280" s="131"/>
      <c r="R280" s="131"/>
      <c r="S280" s="131"/>
      <c r="T280" s="131"/>
      <c r="U280" s="131"/>
      <c r="V280" s="131"/>
      <c r="W280" s="131"/>
    </row>
    <row r="281" spans="1:23" x14ac:dyDescent="0.25">
      <c r="A281" s="131"/>
      <c r="B281" s="131"/>
      <c r="C281" s="131"/>
      <c r="D281" s="131"/>
      <c r="E281" s="131"/>
      <c r="F281" s="131"/>
      <c r="G281" s="131"/>
      <c r="H281" s="131"/>
      <c r="I281" s="131"/>
      <c r="J281" s="131"/>
      <c r="K281" s="131"/>
      <c r="L281" s="131"/>
      <c r="M281" s="131"/>
      <c r="N281" s="131"/>
      <c r="O281" s="131"/>
      <c r="P281" s="131"/>
      <c r="Q281" s="131"/>
      <c r="R281" s="131"/>
      <c r="S281" s="131"/>
      <c r="T281" s="131"/>
      <c r="U281" s="131"/>
      <c r="V281" s="131"/>
      <c r="W281" s="131"/>
    </row>
    <row r="282" spans="1:23" x14ac:dyDescent="0.25">
      <c r="A282" s="131"/>
      <c r="B282" s="131"/>
      <c r="C282" s="131"/>
      <c r="D282" s="131"/>
      <c r="E282" s="131"/>
      <c r="F282" s="131"/>
      <c r="G282" s="131"/>
      <c r="H282" s="131"/>
      <c r="I282" s="131"/>
      <c r="J282" s="131"/>
      <c r="K282" s="131"/>
      <c r="L282" s="131"/>
      <c r="M282" s="131"/>
      <c r="N282" s="131"/>
      <c r="O282" s="131"/>
      <c r="P282" s="131"/>
      <c r="Q282" s="131"/>
      <c r="R282" s="131"/>
      <c r="S282" s="131"/>
      <c r="T282" s="131"/>
      <c r="U282" s="131"/>
      <c r="V282" s="131"/>
      <c r="W282" s="131"/>
    </row>
    <row r="283" spans="1:23" x14ac:dyDescent="0.25">
      <c r="A283" s="131"/>
      <c r="B283" s="131"/>
      <c r="C283" s="131"/>
      <c r="D283" s="131"/>
      <c r="E283" s="131"/>
      <c r="F283" s="131"/>
      <c r="G283" s="131"/>
      <c r="H283" s="131"/>
      <c r="I283" s="131"/>
      <c r="J283" s="131"/>
      <c r="K283" s="131"/>
      <c r="L283" s="131"/>
      <c r="M283" s="131"/>
      <c r="N283" s="131"/>
      <c r="O283" s="131"/>
      <c r="P283" s="131"/>
      <c r="Q283" s="131"/>
      <c r="R283" s="131"/>
      <c r="S283" s="131"/>
      <c r="T283" s="131"/>
      <c r="U283" s="131"/>
      <c r="V283" s="131"/>
      <c r="W283" s="131"/>
    </row>
    <row r="284" spans="1:23" x14ac:dyDescent="0.25">
      <c r="A284" s="131"/>
      <c r="B284" s="131"/>
      <c r="C284" s="131"/>
      <c r="D284" s="131"/>
      <c r="E284" s="131"/>
      <c r="F284" s="131"/>
      <c r="G284" s="131"/>
      <c r="H284" s="131"/>
      <c r="I284" s="131"/>
      <c r="J284" s="131"/>
      <c r="K284" s="131"/>
      <c r="L284" s="131"/>
      <c r="M284" s="131"/>
      <c r="N284" s="131"/>
      <c r="O284" s="131"/>
      <c r="P284" s="131"/>
      <c r="Q284" s="131"/>
      <c r="R284" s="131"/>
      <c r="S284" s="131"/>
      <c r="T284" s="131"/>
      <c r="U284" s="131"/>
      <c r="V284" s="131"/>
      <c r="W284" s="131"/>
    </row>
    <row r="285" spans="1:23" x14ac:dyDescent="0.25">
      <c r="A285" s="131"/>
      <c r="B285" s="131"/>
      <c r="C285" s="131"/>
      <c r="D285" s="131"/>
      <c r="E285" s="131"/>
      <c r="F285" s="131"/>
      <c r="G285" s="131"/>
      <c r="H285" s="131"/>
      <c r="I285" s="131"/>
      <c r="J285" s="131"/>
      <c r="K285" s="131"/>
      <c r="L285" s="131"/>
      <c r="M285" s="131"/>
      <c r="N285" s="131"/>
      <c r="O285" s="131"/>
      <c r="P285" s="131"/>
      <c r="Q285" s="131"/>
      <c r="R285" s="131"/>
      <c r="S285" s="131"/>
      <c r="T285" s="131"/>
      <c r="U285" s="131"/>
      <c r="V285" s="131"/>
      <c r="W285" s="131"/>
    </row>
    <row r="286" spans="1:23" x14ac:dyDescent="0.25">
      <c r="A286" s="131"/>
      <c r="B286" s="131"/>
      <c r="C286" s="131"/>
      <c r="D286" s="131"/>
      <c r="E286" s="131"/>
      <c r="F286" s="131"/>
      <c r="G286" s="131"/>
      <c r="H286" s="131"/>
      <c r="I286" s="131"/>
      <c r="J286" s="131"/>
      <c r="K286" s="131"/>
      <c r="L286" s="131"/>
      <c r="M286" s="131"/>
      <c r="N286" s="131"/>
      <c r="O286" s="131"/>
      <c r="P286" s="131"/>
      <c r="Q286" s="131"/>
      <c r="R286" s="131"/>
      <c r="S286" s="131"/>
      <c r="T286" s="131"/>
      <c r="U286" s="131"/>
      <c r="V286" s="131"/>
      <c r="W286" s="131"/>
    </row>
    <row r="287" spans="1:23" x14ac:dyDescent="0.25">
      <c r="A287" s="131"/>
      <c r="B287" s="131"/>
      <c r="C287" s="131"/>
      <c r="D287" s="131"/>
      <c r="E287" s="131"/>
      <c r="F287" s="131"/>
      <c r="G287" s="131"/>
      <c r="H287" s="131"/>
      <c r="I287" s="131"/>
      <c r="J287" s="131"/>
      <c r="K287" s="131"/>
      <c r="L287" s="131"/>
      <c r="M287" s="131"/>
      <c r="N287" s="131"/>
      <c r="O287" s="131"/>
      <c r="P287" s="131"/>
      <c r="Q287" s="131"/>
      <c r="R287" s="131"/>
      <c r="S287" s="131"/>
      <c r="T287" s="131"/>
      <c r="U287" s="131"/>
      <c r="V287" s="131"/>
      <c r="W287" s="131"/>
    </row>
    <row r="288" spans="1:23" x14ac:dyDescent="0.25">
      <c r="A288" s="131"/>
      <c r="B288" s="131"/>
      <c r="C288" s="131"/>
      <c r="D288" s="131"/>
      <c r="E288" s="131"/>
      <c r="F288" s="131"/>
      <c r="G288" s="131"/>
      <c r="H288" s="131"/>
      <c r="I288" s="131"/>
      <c r="J288" s="131"/>
      <c r="K288" s="131"/>
      <c r="L288" s="131"/>
      <c r="M288" s="131"/>
      <c r="N288" s="131"/>
      <c r="O288" s="131"/>
      <c r="P288" s="131"/>
      <c r="Q288" s="131"/>
      <c r="R288" s="131"/>
      <c r="S288" s="131"/>
      <c r="T288" s="131"/>
      <c r="U288" s="131"/>
      <c r="V288" s="131"/>
      <c r="W288" s="131"/>
    </row>
    <row r="289" spans="1:23" x14ac:dyDescent="0.25">
      <c r="A289" s="131"/>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row>
    <row r="290" spans="1:23" x14ac:dyDescent="0.25">
      <c r="A290" s="131"/>
      <c r="B290" s="131"/>
      <c r="C290" s="131"/>
      <c r="D290" s="131"/>
      <c r="E290" s="131"/>
      <c r="F290" s="131"/>
      <c r="G290" s="131"/>
      <c r="H290" s="131"/>
      <c r="I290" s="131"/>
      <c r="J290" s="131"/>
      <c r="K290" s="131"/>
      <c r="L290" s="131"/>
      <c r="M290" s="131"/>
      <c r="N290" s="131"/>
      <c r="O290" s="131"/>
      <c r="P290" s="131"/>
      <c r="Q290" s="131"/>
      <c r="R290" s="131"/>
      <c r="S290" s="131"/>
      <c r="T290" s="131"/>
      <c r="U290" s="131"/>
      <c r="V290" s="131"/>
      <c r="W290" s="131"/>
    </row>
    <row r="291" spans="1:23" x14ac:dyDescent="0.25">
      <c r="A291" s="131"/>
      <c r="B291" s="131"/>
      <c r="C291" s="131"/>
      <c r="D291" s="131"/>
      <c r="E291" s="131"/>
      <c r="F291" s="131"/>
      <c r="G291" s="131"/>
      <c r="H291" s="131"/>
      <c r="I291" s="131"/>
      <c r="J291" s="131"/>
      <c r="K291" s="131"/>
      <c r="L291" s="131"/>
      <c r="M291" s="131"/>
      <c r="N291" s="131"/>
      <c r="O291" s="131"/>
      <c r="P291" s="131"/>
      <c r="Q291" s="131"/>
      <c r="R291" s="131"/>
      <c r="S291" s="131"/>
      <c r="T291" s="131"/>
      <c r="U291" s="131"/>
      <c r="V291" s="131"/>
      <c r="W291" s="131"/>
    </row>
    <row r="292" spans="1:23" x14ac:dyDescent="0.25">
      <c r="A292" s="131"/>
      <c r="B292" s="131"/>
      <c r="C292" s="131"/>
      <c r="D292" s="131"/>
      <c r="E292" s="131"/>
      <c r="F292" s="131"/>
      <c r="G292" s="131"/>
      <c r="H292" s="131"/>
      <c r="I292" s="131"/>
      <c r="J292" s="131"/>
      <c r="K292" s="131"/>
      <c r="L292" s="131"/>
      <c r="M292" s="131"/>
      <c r="N292" s="131"/>
      <c r="O292" s="131"/>
      <c r="P292" s="131"/>
      <c r="Q292" s="131"/>
      <c r="R292" s="131"/>
      <c r="S292" s="131"/>
      <c r="T292" s="131"/>
      <c r="U292" s="131"/>
      <c r="V292" s="131"/>
      <c r="W292" s="131"/>
    </row>
    <row r="293" spans="1:23" x14ac:dyDescent="0.25">
      <c r="A293" s="131"/>
      <c r="B293" s="131"/>
      <c r="C293" s="131"/>
      <c r="D293" s="131"/>
      <c r="E293" s="131"/>
      <c r="F293" s="131"/>
      <c r="G293" s="131"/>
      <c r="H293" s="131"/>
      <c r="I293" s="131"/>
      <c r="J293" s="131"/>
      <c r="K293" s="131"/>
      <c r="L293" s="131"/>
      <c r="M293" s="131"/>
      <c r="N293" s="131"/>
      <c r="O293" s="131"/>
      <c r="P293" s="131"/>
      <c r="Q293" s="131"/>
      <c r="R293" s="131"/>
      <c r="S293" s="131"/>
      <c r="T293" s="131"/>
      <c r="U293" s="131"/>
      <c r="V293" s="131"/>
      <c r="W293" s="131"/>
    </row>
    <row r="294" spans="1:23" x14ac:dyDescent="0.25">
      <c r="A294" s="131"/>
      <c r="B294" s="131"/>
      <c r="C294" s="131"/>
      <c r="D294" s="131"/>
      <c r="E294" s="131"/>
      <c r="F294" s="131"/>
      <c r="G294" s="131"/>
      <c r="H294" s="131"/>
      <c r="I294" s="131"/>
      <c r="J294" s="131"/>
      <c r="K294" s="131"/>
      <c r="L294" s="131"/>
      <c r="M294" s="131"/>
      <c r="N294" s="131"/>
      <c r="O294" s="131"/>
      <c r="P294" s="131"/>
      <c r="Q294" s="131"/>
      <c r="R294" s="131"/>
      <c r="S294" s="131"/>
      <c r="T294" s="131"/>
      <c r="U294" s="131"/>
      <c r="V294" s="131"/>
      <c r="W294" s="131"/>
    </row>
    <row r="295" spans="1:23" x14ac:dyDescent="0.25">
      <c r="A295" s="131"/>
      <c r="B295" s="131"/>
      <c r="C295" s="131"/>
      <c r="D295" s="131"/>
      <c r="E295" s="131"/>
      <c r="F295" s="131"/>
      <c r="G295" s="131"/>
      <c r="H295" s="131"/>
      <c r="I295" s="131"/>
      <c r="J295" s="131"/>
      <c r="K295" s="131"/>
      <c r="L295" s="131"/>
      <c r="M295" s="131"/>
      <c r="N295" s="131"/>
      <c r="O295" s="131"/>
      <c r="P295" s="131"/>
      <c r="Q295" s="131"/>
      <c r="R295" s="131"/>
      <c r="S295" s="131"/>
      <c r="T295" s="131"/>
      <c r="U295" s="131"/>
      <c r="V295" s="131"/>
      <c r="W295" s="131"/>
    </row>
    <row r="296" spans="1:23" x14ac:dyDescent="0.25">
      <c r="A296" s="131"/>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0057C-73E0-4273-9B4B-1B515895A39F}">
  <sheetPr codeName="Sheet38"/>
  <dimension ref="B2:L21"/>
  <sheetViews>
    <sheetView workbookViewId="0">
      <selection activeCell="J12" sqref="J12"/>
    </sheetView>
  </sheetViews>
  <sheetFormatPr defaultRowHeight="15" x14ac:dyDescent="0.25"/>
  <cols>
    <col min="2" max="2" width="13.140625" customWidth="1"/>
    <col min="3" max="3" width="15.140625" customWidth="1"/>
    <col min="4" max="4" width="13.7109375" customWidth="1"/>
    <col min="8" max="8" width="16.7109375" customWidth="1"/>
    <col min="9" max="9" width="14.85546875" customWidth="1"/>
    <col min="10" max="10" width="15.140625" customWidth="1"/>
    <col min="11" max="11" width="16.140625" customWidth="1"/>
  </cols>
  <sheetData>
    <row r="2" spans="2:12" x14ac:dyDescent="0.25">
      <c r="B2" s="132" t="s">
        <v>122</v>
      </c>
      <c r="C2" s="132" t="s">
        <v>430</v>
      </c>
      <c r="D2" s="132" t="s">
        <v>144</v>
      </c>
    </row>
    <row r="3" spans="2:12" x14ac:dyDescent="0.25">
      <c r="B3" s="135">
        <v>45658</v>
      </c>
      <c r="C3" s="131" t="s">
        <v>431</v>
      </c>
      <c r="D3" s="136">
        <v>23.5</v>
      </c>
      <c r="H3" s="102" t="s">
        <v>434</v>
      </c>
      <c r="I3" s="36"/>
      <c r="J3" s="36"/>
      <c r="K3" s="36"/>
      <c r="L3" s="36"/>
    </row>
    <row r="4" spans="2:12" x14ac:dyDescent="0.25">
      <c r="B4" s="135">
        <v>45658</v>
      </c>
      <c r="C4" s="131" t="s">
        <v>432</v>
      </c>
      <c r="D4" s="136">
        <v>15</v>
      </c>
      <c r="H4" s="219"/>
      <c r="I4" s="92" t="s">
        <v>432</v>
      </c>
      <c r="J4" s="92" t="s">
        <v>431</v>
      </c>
      <c r="K4" s="92" t="s">
        <v>433</v>
      </c>
    </row>
    <row r="5" spans="2:12" x14ac:dyDescent="0.25">
      <c r="B5" s="135">
        <v>45658</v>
      </c>
      <c r="C5" s="131" t="s">
        <v>431</v>
      </c>
      <c r="D5" s="131">
        <v>9.1199999999999992</v>
      </c>
      <c r="H5" s="218">
        <v>45658</v>
      </c>
      <c r="I5" s="53">
        <f>SUMIFS($D$3:$D$21,$B$3:$B$21,$H5,$C$3:$C$21,I$4)</f>
        <v>160.5</v>
      </c>
      <c r="J5" s="53">
        <f t="shared" ref="J5:K5" si="0">SUMIFS($D$3:$D$21,$B$3:$B$21,$H5,$C$3:$C$21,J$4)</f>
        <v>49.569999999999993</v>
      </c>
      <c r="K5" s="53">
        <f t="shared" si="0"/>
        <v>65.95</v>
      </c>
    </row>
    <row r="6" spans="2:12" x14ac:dyDescent="0.25">
      <c r="B6" s="135">
        <v>45658</v>
      </c>
      <c r="C6" s="131" t="s">
        <v>431</v>
      </c>
      <c r="D6" s="131">
        <v>16.95</v>
      </c>
      <c r="H6" s="217">
        <v>45659</v>
      </c>
      <c r="I6" s="53">
        <f t="shared" ref="I6:K8" si="1">SUMIFS($D$3:$D$21,$B$3:$B$21,$H6,$C$3:$C$21,I$4)</f>
        <v>20</v>
      </c>
      <c r="J6" s="53">
        <f t="shared" si="1"/>
        <v>27.8</v>
      </c>
      <c r="K6" s="53">
        <f t="shared" si="1"/>
        <v>89</v>
      </c>
    </row>
    <row r="7" spans="2:12" x14ac:dyDescent="0.25">
      <c r="B7" s="135">
        <v>45658</v>
      </c>
      <c r="C7" s="131" t="s">
        <v>432</v>
      </c>
      <c r="D7" s="136">
        <v>145.5</v>
      </c>
      <c r="H7" s="217">
        <v>45660</v>
      </c>
      <c r="I7" s="53">
        <f t="shared" si="1"/>
        <v>0</v>
      </c>
      <c r="J7" s="53">
        <f t="shared" si="1"/>
        <v>101.96</v>
      </c>
      <c r="K7" s="53">
        <f t="shared" si="1"/>
        <v>75.3</v>
      </c>
    </row>
    <row r="8" spans="2:12" x14ac:dyDescent="0.25">
      <c r="B8" s="135">
        <v>45658</v>
      </c>
      <c r="C8" s="131" t="s">
        <v>433</v>
      </c>
      <c r="D8" s="131">
        <v>65.95</v>
      </c>
      <c r="H8" s="217">
        <v>45661</v>
      </c>
      <c r="I8" s="53">
        <f t="shared" si="1"/>
        <v>11.5</v>
      </c>
      <c r="J8" s="53">
        <f t="shared" si="1"/>
        <v>25</v>
      </c>
      <c r="K8" s="53">
        <f t="shared" si="1"/>
        <v>112</v>
      </c>
    </row>
    <row r="9" spans="2:12" x14ac:dyDescent="0.25">
      <c r="B9" s="135">
        <v>45659</v>
      </c>
      <c r="C9" s="131" t="s">
        <v>432</v>
      </c>
      <c r="D9" s="136">
        <v>20</v>
      </c>
    </row>
    <row r="10" spans="2:12" x14ac:dyDescent="0.25">
      <c r="B10" s="135">
        <v>45659</v>
      </c>
      <c r="C10" s="131" t="s">
        <v>431</v>
      </c>
      <c r="D10" s="136">
        <v>7.8</v>
      </c>
    </row>
    <row r="11" spans="2:12" x14ac:dyDescent="0.25">
      <c r="B11" s="135">
        <v>45659</v>
      </c>
      <c r="C11" s="131" t="s">
        <v>431</v>
      </c>
      <c r="D11" s="136">
        <v>20</v>
      </c>
    </row>
    <row r="12" spans="2:12" x14ac:dyDescent="0.25">
      <c r="B12" s="135">
        <v>45659</v>
      </c>
      <c r="C12" s="131" t="s">
        <v>433</v>
      </c>
      <c r="D12" s="136">
        <v>89</v>
      </c>
    </row>
    <row r="13" spans="2:12" x14ac:dyDescent="0.25">
      <c r="B13" s="135">
        <v>45660</v>
      </c>
      <c r="C13" s="131" t="s">
        <v>431</v>
      </c>
      <c r="D13" s="136">
        <v>9</v>
      </c>
    </row>
    <row r="14" spans="2:12" x14ac:dyDescent="0.25">
      <c r="B14" s="135">
        <v>45660</v>
      </c>
      <c r="C14" s="131" t="s">
        <v>431</v>
      </c>
      <c r="D14" s="136">
        <v>3.5</v>
      </c>
    </row>
    <row r="15" spans="2:12" x14ac:dyDescent="0.25">
      <c r="B15" s="135">
        <v>45660</v>
      </c>
      <c r="C15" s="131" t="s">
        <v>431</v>
      </c>
      <c r="D15" s="131">
        <v>11.02</v>
      </c>
    </row>
    <row r="16" spans="2:12" x14ac:dyDescent="0.25">
      <c r="B16" s="135">
        <v>45660</v>
      </c>
      <c r="C16" s="131" t="s">
        <v>431</v>
      </c>
      <c r="D16" s="131">
        <v>78.44</v>
      </c>
    </row>
    <row r="17" spans="2:4" x14ac:dyDescent="0.25">
      <c r="B17" s="135">
        <v>45660</v>
      </c>
      <c r="C17" s="131" t="s">
        <v>433</v>
      </c>
      <c r="D17" s="136">
        <v>75.3</v>
      </c>
    </row>
    <row r="18" spans="2:4" x14ac:dyDescent="0.25">
      <c r="B18" s="135">
        <v>45661</v>
      </c>
      <c r="C18" s="131" t="s">
        <v>432</v>
      </c>
      <c r="D18" s="136">
        <v>11.5</v>
      </c>
    </row>
    <row r="19" spans="2:4" x14ac:dyDescent="0.25">
      <c r="B19" s="135">
        <v>45661</v>
      </c>
      <c r="C19" s="131" t="s">
        <v>431</v>
      </c>
      <c r="D19" s="136">
        <v>15.5</v>
      </c>
    </row>
    <row r="20" spans="2:4" x14ac:dyDescent="0.25">
      <c r="B20" s="135">
        <v>45661</v>
      </c>
      <c r="C20" s="131" t="s">
        <v>431</v>
      </c>
      <c r="D20" s="136">
        <v>9.5</v>
      </c>
    </row>
    <row r="21" spans="2:4" x14ac:dyDescent="0.25">
      <c r="B21" s="135">
        <v>45661</v>
      </c>
      <c r="C21" s="131" t="s">
        <v>433</v>
      </c>
      <c r="D21" s="136">
        <v>112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325F1-349C-4A70-AFB4-DAD40F4B7791}">
  <sheetPr codeName="Sheet39"/>
  <dimension ref="B3:Q34"/>
  <sheetViews>
    <sheetView workbookViewId="0">
      <selection activeCell="D6" sqref="D6"/>
    </sheetView>
  </sheetViews>
  <sheetFormatPr defaultRowHeight="15" x14ac:dyDescent="0.25"/>
  <cols>
    <col min="2" max="2" width="25.42578125" customWidth="1"/>
    <col min="3" max="3" width="16.140625" customWidth="1"/>
    <col min="4" max="4" width="18.42578125" customWidth="1"/>
    <col min="11" max="11" width="23.85546875" bestFit="1" customWidth="1"/>
    <col min="12" max="12" width="11.5703125" customWidth="1"/>
    <col min="13" max="13" width="17.28515625" bestFit="1" customWidth="1"/>
  </cols>
  <sheetData>
    <row r="3" spans="2:17" x14ac:dyDescent="0.25">
      <c r="B3" s="131"/>
      <c r="C3" s="131"/>
      <c r="D3" s="131"/>
      <c r="E3" s="131"/>
      <c r="F3" s="131"/>
      <c r="G3" s="131"/>
      <c r="H3" s="131"/>
      <c r="I3" s="131"/>
      <c r="J3" s="131"/>
      <c r="K3" s="131"/>
      <c r="L3" s="131"/>
      <c r="M3" s="131"/>
      <c r="N3" s="131"/>
      <c r="O3" s="131"/>
      <c r="P3" s="131"/>
      <c r="Q3" s="131"/>
    </row>
    <row r="4" spans="2:17" x14ac:dyDescent="0.25">
      <c r="B4" s="41" t="s">
        <v>17</v>
      </c>
      <c r="C4" s="41" t="s">
        <v>440</v>
      </c>
      <c r="D4" s="41" t="s">
        <v>441</v>
      </c>
      <c r="E4" s="131"/>
      <c r="F4" s="131"/>
      <c r="G4" s="131"/>
      <c r="H4" s="131"/>
      <c r="I4" s="131"/>
      <c r="J4" s="131"/>
      <c r="K4" s="131"/>
      <c r="L4" s="131"/>
      <c r="M4" s="131"/>
      <c r="N4" s="131"/>
      <c r="O4" s="131"/>
      <c r="P4" s="131"/>
      <c r="Q4" s="131"/>
    </row>
    <row r="5" spans="2:17" x14ac:dyDescent="0.25">
      <c r="B5" s="131" t="s">
        <v>435</v>
      </c>
      <c r="C5" s="131" t="s">
        <v>450</v>
      </c>
      <c r="D5" s="131" t="s">
        <v>453</v>
      </c>
      <c r="E5" s="131"/>
      <c r="F5" s="131"/>
      <c r="G5" s="131"/>
      <c r="H5" s="131"/>
      <c r="I5" s="131"/>
      <c r="J5" s="131"/>
      <c r="K5" s="131"/>
      <c r="L5" s="131"/>
      <c r="M5" s="131"/>
      <c r="N5" s="131"/>
      <c r="O5" s="131"/>
      <c r="P5" s="131"/>
      <c r="Q5" s="131"/>
    </row>
    <row r="6" spans="2:17" x14ac:dyDescent="0.25">
      <c r="B6" s="131" t="s">
        <v>436</v>
      </c>
      <c r="C6" s="131" t="s">
        <v>138</v>
      </c>
      <c r="D6" s="239" t="s">
        <v>454</v>
      </c>
      <c r="E6" s="131"/>
      <c r="F6" s="131"/>
      <c r="G6" s="131"/>
      <c r="H6" s="131"/>
      <c r="I6" s="131"/>
      <c r="J6" s="131"/>
      <c r="K6" s="131"/>
      <c r="L6" s="131"/>
      <c r="M6" s="131"/>
      <c r="N6" s="131"/>
      <c r="O6" s="131"/>
      <c r="P6" s="131"/>
      <c r="Q6" s="131"/>
    </row>
    <row r="7" spans="2:17" x14ac:dyDescent="0.25">
      <c r="B7" s="131" t="s">
        <v>437</v>
      </c>
      <c r="C7" s="131" t="s">
        <v>43</v>
      </c>
      <c r="D7" s="239" t="s">
        <v>454</v>
      </c>
      <c r="E7" s="131"/>
      <c r="F7" s="131"/>
      <c r="G7" s="131"/>
      <c r="H7" s="131"/>
      <c r="I7" s="131"/>
      <c r="J7" s="131"/>
      <c r="K7" s="131"/>
      <c r="L7" s="131"/>
      <c r="M7" s="131"/>
      <c r="N7" s="131"/>
      <c r="O7" s="131"/>
      <c r="P7" s="131"/>
      <c r="Q7" s="131"/>
    </row>
    <row r="8" spans="2:17" x14ac:dyDescent="0.25">
      <c r="B8" s="131" t="s">
        <v>438</v>
      </c>
      <c r="C8" s="131" t="s">
        <v>451</v>
      </c>
      <c r="D8" s="239" t="s">
        <v>201</v>
      </c>
      <c r="E8" s="131"/>
      <c r="F8" s="131"/>
      <c r="G8" s="131"/>
      <c r="H8" s="131"/>
      <c r="I8" s="131"/>
      <c r="J8" s="131"/>
      <c r="K8" s="131"/>
      <c r="L8" s="131"/>
      <c r="M8" s="131"/>
      <c r="N8" s="131"/>
      <c r="O8" s="131"/>
      <c r="P8" s="131"/>
      <c r="Q8" s="131"/>
    </row>
    <row r="9" spans="2:17" x14ac:dyDescent="0.25">
      <c r="B9" s="131" t="s">
        <v>439</v>
      </c>
      <c r="C9" s="131" t="s">
        <v>452</v>
      </c>
      <c r="D9" s="239" t="s">
        <v>455</v>
      </c>
      <c r="E9" s="131"/>
      <c r="F9" s="131"/>
      <c r="G9" s="131"/>
      <c r="H9" s="131"/>
      <c r="I9" s="131"/>
      <c r="J9" s="131"/>
      <c r="K9" s="131"/>
      <c r="L9" s="131">
        <v>-1234</v>
      </c>
      <c r="M9" s="131"/>
      <c r="N9" s="131"/>
      <c r="O9" s="131"/>
      <c r="P9" s="131"/>
      <c r="Q9" s="131"/>
    </row>
    <row r="10" spans="2:17" x14ac:dyDescent="0.25">
      <c r="B10" s="131"/>
      <c r="C10" s="131"/>
      <c r="D10" s="131"/>
      <c r="E10" s="131"/>
      <c r="F10" s="131"/>
      <c r="G10" s="131"/>
      <c r="H10" s="131"/>
      <c r="I10" s="131"/>
      <c r="J10" s="131"/>
      <c r="K10" s="131"/>
      <c r="L10" s="131"/>
      <c r="M10" s="131"/>
      <c r="N10" s="131"/>
      <c r="O10" s="131"/>
      <c r="P10" s="131"/>
      <c r="Q10" s="131"/>
    </row>
    <row r="11" spans="2:17" x14ac:dyDescent="0.25">
      <c r="B11" s="131"/>
      <c r="C11" s="131"/>
      <c r="D11" s="131"/>
      <c r="E11" s="131"/>
      <c r="F11" s="131"/>
      <c r="G11" s="131"/>
      <c r="H11" s="131"/>
      <c r="I11" s="131"/>
      <c r="J11" s="131"/>
      <c r="K11" s="131"/>
      <c r="L11" s="131"/>
      <c r="M11" s="131"/>
      <c r="N11" s="131"/>
      <c r="O11" s="131"/>
      <c r="P11" s="131"/>
      <c r="Q11" s="131"/>
    </row>
    <row r="12" spans="2:17" x14ac:dyDescent="0.25">
      <c r="B12" s="131"/>
      <c r="C12" s="131"/>
      <c r="D12" s="131"/>
      <c r="E12" s="131"/>
      <c r="F12" s="131"/>
      <c r="G12" s="131"/>
      <c r="H12" s="131"/>
      <c r="I12" s="131"/>
      <c r="J12" s="131"/>
      <c r="K12" s="131"/>
      <c r="L12" s="131"/>
      <c r="M12" s="131"/>
      <c r="N12" s="131"/>
      <c r="O12" s="131"/>
      <c r="P12" s="131"/>
      <c r="Q12" s="131"/>
    </row>
    <row r="13" spans="2:17" x14ac:dyDescent="0.25">
      <c r="B13" s="131"/>
      <c r="C13" s="131"/>
      <c r="D13" s="131"/>
      <c r="E13" s="131"/>
      <c r="F13" s="131"/>
      <c r="G13" s="131"/>
      <c r="H13" s="131"/>
      <c r="I13" s="131"/>
      <c r="J13" s="131"/>
      <c r="K13" s="131"/>
      <c r="L13" s="131"/>
      <c r="M13" s="131"/>
      <c r="N13" s="131"/>
      <c r="O13" s="131"/>
      <c r="P13" s="131"/>
      <c r="Q13" s="131"/>
    </row>
    <row r="14" spans="2:17" x14ac:dyDescent="0.25">
      <c r="B14" s="131"/>
      <c r="C14" s="131"/>
      <c r="D14" s="131"/>
      <c r="E14" s="131"/>
      <c r="F14" s="131"/>
      <c r="G14" s="131"/>
      <c r="H14" s="131"/>
      <c r="I14" s="131"/>
      <c r="J14" s="131"/>
      <c r="K14" s="131"/>
      <c r="L14" s="131"/>
      <c r="M14" s="131"/>
      <c r="N14" s="131"/>
      <c r="O14" s="131"/>
      <c r="P14" s="131"/>
      <c r="Q14" s="131"/>
    </row>
    <row r="15" spans="2:17" x14ac:dyDescent="0.25">
      <c r="B15" s="41" t="s">
        <v>442</v>
      </c>
      <c r="C15" s="41" t="s">
        <v>449</v>
      </c>
      <c r="D15" s="41" t="s">
        <v>17</v>
      </c>
      <c r="E15" s="131"/>
      <c r="F15" s="131"/>
      <c r="G15" s="131"/>
      <c r="H15" s="131"/>
      <c r="I15" s="131"/>
      <c r="J15" s="131"/>
      <c r="K15" s="41" t="s">
        <v>442</v>
      </c>
      <c r="L15" s="41" t="s">
        <v>449</v>
      </c>
      <c r="M15" s="41" t="s">
        <v>17</v>
      </c>
      <c r="N15" s="131"/>
      <c r="O15" s="131"/>
      <c r="P15" s="131"/>
      <c r="Q15" s="131"/>
    </row>
    <row r="16" spans="2:17" x14ac:dyDescent="0.25">
      <c r="B16" s="131" t="s">
        <v>443</v>
      </c>
      <c r="C16" s="131" t="str">
        <f>RIGHT(B16,7)</f>
        <v xml:space="preserve"> (1234)</v>
      </c>
      <c r="D16" s="131" t="str">
        <f>LEFT(B16,LEN(B16)-7)</f>
        <v>RAJU SINGH</v>
      </c>
      <c r="E16" s="131"/>
      <c r="F16" s="131"/>
      <c r="G16" s="131"/>
      <c r="H16" s="131"/>
      <c r="I16" s="131"/>
      <c r="J16" s="131"/>
      <c r="K16" s="239" t="s">
        <v>443</v>
      </c>
      <c r="M16" s="239" t="s">
        <v>612</v>
      </c>
      <c r="N16" s="131"/>
      <c r="O16" s="131"/>
      <c r="P16" s="131"/>
      <c r="Q16" s="131"/>
    </row>
    <row r="17" spans="2:17" x14ac:dyDescent="0.25">
      <c r="B17" s="131" t="s">
        <v>444</v>
      </c>
      <c r="C17" s="131" t="str">
        <f t="shared" ref="C17:C21" si="0">RIGHT(B17,7)</f>
        <v>(33456)</v>
      </c>
      <c r="D17" s="131" t="str">
        <f t="shared" ref="D17:D21" si="1">LEFT(B17,LEN(B17)-7)</f>
        <v xml:space="preserve">SUNDER NAYAL1 </v>
      </c>
      <c r="E17" s="131"/>
      <c r="F17" s="131"/>
      <c r="G17" s="131"/>
      <c r="H17" s="131"/>
      <c r="I17" s="131"/>
      <c r="J17" s="131"/>
      <c r="K17" s="239" t="s">
        <v>444</v>
      </c>
      <c r="M17" s="239" t="s">
        <v>613</v>
      </c>
      <c r="N17" s="131"/>
      <c r="O17" s="131"/>
      <c r="P17" s="131"/>
      <c r="Q17" s="131"/>
    </row>
    <row r="18" spans="2:17" x14ac:dyDescent="0.25">
      <c r="B18" s="131" t="s">
        <v>445</v>
      </c>
      <c r="C18" s="131" t="str">
        <f t="shared" si="0"/>
        <v xml:space="preserve"> (2345)</v>
      </c>
      <c r="D18" s="131" t="str">
        <f t="shared" si="1"/>
        <v>RIESH SINHA</v>
      </c>
      <c r="E18" s="131"/>
      <c r="F18" s="131"/>
      <c r="G18" s="131"/>
      <c r="H18" s="131"/>
      <c r="I18" s="131"/>
      <c r="J18" s="131"/>
      <c r="K18" s="239" t="s">
        <v>445</v>
      </c>
      <c r="M18" s="239" t="s">
        <v>614</v>
      </c>
      <c r="N18" s="131"/>
      <c r="O18" s="131"/>
      <c r="P18" s="131"/>
      <c r="Q18" s="131"/>
    </row>
    <row r="19" spans="2:17" x14ac:dyDescent="0.25">
      <c r="B19" s="131" t="s">
        <v>446</v>
      </c>
      <c r="C19" s="131" t="str">
        <f t="shared" si="0"/>
        <v>(23478)</v>
      </c>
      <c r="D19" s="131" t="str">
        <f t="shared" si="1"/>
        <v xml:space="preserve">SOBHIT1 SINGHAL </v>
      </c>
      <c r="E19" s="131"/>
      <c r="F19" s="131"/>
      <c r="G19" s="131"/>
      <c r="H19" s="131"/>
      <c r="I19" s="131"/>
      <c r="J19" s="131"/>
      <c r="K19" s="239" t="s">
        <v>446</v>
      </c>
      <c r="M19" s="239" t="s">
        <v>615</v>
      </c>
      <c r="N19" s="131"/>
      <c r="O19" s="131"/>
      <c r="P19" s="131"/>
      <c r="Q19" s="131"/>
    </row>
    <row r="20" spans="2:17" x14ac:dyDescent="0.25">
      <c r="B20" s="131" t="s">
        <v>447</v>
      </c>
      <c r="C20" s="131" t="str">
        <f t="shared" si="0"/>
        <v xml:space="preserve"> (7654)</v>
      </c>
      <c r="D20" s="131" t="str">
        <f t="shared" si="1"/>
        <v>PANKAJ SYAL</v>
      </c>
      <c r="E20" s="131"/>
      <c r="F20" s="131"/>
      <c r="G20" s="131"/>
      <c r="H20" s="131"/>
      <c r="I20" s="131"/>
      <c r="J20" s="131"/>
      <c r="K20" s="239" t="s">
        <v>447</v>
      </c>
      <c r="M20" s="239" t="s">
        <v>616</v>
      </c>
      <c r="N20" s="131"/>
      <c r="O20" s="131"/>
      <c r="P20" s="131"/>
      <c r="Q20" s="131"/>
    </row>
    <row r="21" spans="2:17" x14ac:dyDescent="0.25">
      <c r="B21" s="131" t="s">
        <v>448</v>
      </c>
      <c r="C21" s="131" t="str">
        <f t="shared" si="0"/>
        <v>(09876)</v>
      </c>
      <c r="D21" s="131" t="str">
        <f t="shared" si="1"/>
        <v xml:space="preserve">SANISH RAJPUT </v>
      </c>
      <c r="E21" s="131"/>
      <c r="F21" s="131"/>
      <c r="G21" s="131"/>
      <c r="H21" s="131"/>
      <c r="I21" s="131"/>
      <c r="J21" s="131"/>
      <c r="K21" s="239" t="s">
        <v>448</v>
      </c>
      <c r="M21" s="239" t="s">
        <v>617</v>
      </c>
      <c r="N21" s="131"/>
      <c r="O21" s="131"/>
      <c r="P21" s="131"/>
      <c r="Q21" s="131"/>
    </row>
    <row r="22" spans="2:17" x14ac:dyDescent="0.25">
      <c r="B22" s="131"/>
      <c r="C22" s="131"/>
      <c r="D22" s="131"/>
      <c r="E22" s="131"/>
      <c r="F22" s="131"/>
      <c r="G22" s="131"/>
      <c r="H22" s="131"/>
      <c r="I22" s="131"/>
      <c r="J22" s="131"/>
      <c r="K22" s="131"/>
      <c r="L22" s="131"/>
      <c r="M22" s="131"/>
      <c r="N22" s="131"/>
      <c r="O22" s="131"/>
      <c r="P22" s="131"/>
      <c r="Q22" s="131"/>
    </row>
    <row r="23" spans="2:17" x14ac:dyDescent="0.25">
      <c r="B23" s="131"/>
      <c r="C23" s="131"/>
      <c r="D23" s="131"/>
      <c r="E23" s="131"/>
      <c r="F23" s="131"/>
      <c r="G23" s="131"/>
      <c r="H23" s="131"/>
      <c r="I23" s="131"/>
      <c r="J23" s="131"/>
      <c r="K23" s="131"/>
      <c r="L23" s="131"/>
      <c r="M23" s="131"/>
      <c r="N23" s="131"/>
      <c r="O23" s="131"/>
      <c r="P23" s="131"/>
      <c r="Q23" s="131"/>
    </row>
    <row r="24" spans="2:17" x14ac:dyDescent="0.25">
      <c r="B24" s="131"/>
      <c r="C24" s="131"/>
      <c r="D24" s="131"/>
      <c r="E24" s="131"/>
      <c r="F24" s="131"/>
      <c r="G24" s="131"/>
      <c r="H24" s="131"/>
      <c r="I24" s="131"/>
      <c r="J24" s="131"/>
      <c r="K24" s="131"/>
      <c r="L24" s="131"/>
      <c r="M24" s="131"/>
      <c r="N24" s="131"/>
      <c r="O24" s="131"/>
      <c r="P24" s="131"/>
      <c r="Q24" s="131"/>
    </row>
    <row r="25" spans="2:17" x14ac:dyDescent="0.25">
      <c r="B25" s="131"/>
      <c r="C25" s="131"/>
      <c r="D25" s="131"/>
      <c r="E25" s="131"/>
      <c r="F25" s="131"/>
      <c r="G25" s="131"/>
      <c r="H25" s="131"/>
      <c r="I25" s="131"/>
      <c r="J25" s="131"/>
      <c r="K25" s="131"/>
      <c r="L25" s="131"/>
      <c r="M25" s="131"/>
      <c r="N25" s="131"/>
      <c r="O25" s="131"/>
      <c r="P25" s="131"/>
      <c r="Q25" s="131"/>
    </row>
    <row r="26" spans="2:17" x14ac:dyDescent="0.25">
      <c r="B26" s="131"/>
      <c r="C26" s="131"/>
      <c r="D26" s="131"/>
      <c r="E26" s="131"/>
      <c r="F26" s="131"/>
      <c r="G26" s="131"/>
      <c r="H26" s="131"/>
      <c r="I26" s="131"/>
      <c r="J26" s="131"/>
      <c r="K26" s="131"/>
      <c r="L26" s="131"/>
      <c r="M26" s="131"/>
      <c r="N26" s="131"/>
      <c r="O26" s="131"/>
      <c r="P26" s="131"/>
      <c r="Q26" s="131"/>
    </row>
    <row r="27" spans="2:17" x14ac:dyDescent="0.25">
      <c r="B27" s="131"/>
      <c r="C27" s="131"/>
      <c r="D27" s="131"/>
      <c r="E27" s="131"/>
      <c r="F27" s="131"/>
      <c r="G27" s="131"/>
      <c r="H27" s="131"/>
      <c r="I27" s="131"/>
      <c r="J27" s="131"/>
      <c r="K27" s="131"/>
      <c r="L27" s="131"/>
      <c r="M27" s="131"/>
      <c r="N27" s="131"/>
      <c r="O27" s="131"/>
      <c r="P27" s="131"/>
      <c r="Q27" s="131"/>
    </row>
    <row r="28" spans="2:17" x14ac:dyDescent="0.25">
      <c r="B28" s="131"/>
      <c r="C28" s="131"/>
      <c r="D28" s="131"/>
      <c r="E28" s="131"/>
      <c r="F28" s="131"/>
      <c r="G28" s="131"/>
      <c r="H28" s="131"/>
      <c r="I28" s="131"/>
      <c r="J28" s="131"/>
      <c r="K28" s="131"/>
      <c r="L28" s="131"/>
      <c r="M28" s="131"/>
      <c r="N28" s="131"/>
      <c r="O28" s="131"/>
      <c r="P28" s="131"/>
      <c r="Q28" s="131"/>
    </row>
    <row r="29" spans="2:17" x14ac:dyDescent="0.25">
      <c r="B29" s="131"/>
      <c r="C29" s="131"/>
      <c r="D29" s="131"/>
      <c r="E29" s="131"/>
      <c r="F29" s="131"/>
      <c r="G29" s="131"/>
      <c r="H29" s="131"/>
      <c r="I29" s="131"/>
      <c r="J29" s="131"/>
      <c r="K29" s="131"/>
      <c r="L29" s="131"/>
      <c r="M29" s="131"/>
      <c r="N29" s="131"/>
      <c r="O29" s="131"/>
      <c r="P29" s="131"/>
      <c r="Q29" s="131"/>
    </row>
    <row r="30" spans="2:17" x14ac:dyDescent="0.25">
      <c r="B30" s="131"/>
      <c r="C30" s="131"/>
      <c r="D30" s="131"/>
      <c r="E30" s="131"/>
      <c r="F30" s="131"/>
      <c r="G30" s="131"/>
      <c r="H30" s="131"/>
      <c r="I30" s="131"/>
      <c r="J30" s="131"/>
      <c r="K30" s="131"/>
      <c r="L30" s="131"/>
      <c r="M30" s="131"/>
      <c r="N30" s="131"/>
      <c r="O30" s="131"/>
      <c r="P30" s="131"/>
      <c r="Q30" s="131"/>
    </row>
    <row r="31" spans="2:17" x14ac:dyDescent="0.25">
      <c r="B31" s="131"/>
      <c r="C31" s="131"/>
      <c r="D31" s="131"/>
      <c r="E31" s="131"/>
      <c r="F31" s="131"/>
      <c r="G31" s="131"/>
      <c r="H31" s="131"/>
      <c r="I31" s="131"/>
      <c r="J31" s="131"/>
      <c r="K31" s="131"/>
      <c r="L31" s="131"/>
      <c r="M31" s="131"/>
      <c r="N31" s="131"/>
      <c r="O31" s="131"/>
      <c r="P31" s="131"/>
      <c r="Q31" s="131"/>
    </row>
    <row r="32" spans="2:17" x14ac:dyDescent="0.25">
      <c r="B32" s="131"/>
      <c r="C32" s="131"/>
      <c r="D32" s="131"/>
      <c r="E32" s="131"/>
      <c r="F32" s="131"/>
      <c r="G32" s="131"/>
      <c r="H32" s="131"/>
      <c r="I32" s="131"/>
      <c r="J32" s="131"/>
      <c r="K32" s="131"/>
      <c r="L32" s="131"/>
      <c r="M32" s="131"/>
      <c r="N32" s="131"/>
      <c r="O32" s="131"/>
      <c r="P32" s="131"/>
      <c r="Q32" s="131"/>
    </row>
    <row r="33" spans="2:17" x14ac:dyDescent="0.25">
      <c r="B33" s="131"/>
      <c r="C33" s="131"/>
      <c r="D33" s="131"/>
      <c r="E33" s="131"/>
      <c r="F33" s="131"/>
      <c r="G33" s="131"/>
      <c r="H33" s="131"/>
      <c r="I33" s="131"/>
      <c r="J33" s="131"/>
      <c r="K33" s="131"/>
      <c r="L33" s="131"/>
      <c r="M33" s="131"/>
      <c r="N33" s="131"/>
      <c r="O33" s="131"/>
      <c r="P33" s="131"/>
      <c r="Q33" s="131"/>
    </row>
    <row r="34" spans="2:17" x14ac:dyDescent="0.25">
      <c r="B34" s="131"/>
      <c r="C34" s="131"/>
      <c r="D34" s="131"/>
      <c r="E34" s="131"/>
      <c r="F34" s="131"/>
      <c r="G34" s="131"/>
      <c r="H34" s="131"/>
      <c r="I34" s="131"/>
      <c r="J34" s="131"/>
      <c r="K34" s="131"/>
      <c r="L34" s="131"/>
      <c r="M34" s="131"/>
      <c r="N34" s="131"/>
      <c r="O34" s="131"/>
      <c r="P34" s="131"/>
      <c r="Q34" s="131"/>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07B12-697D-4720-BA0E-4B18973D34DA}">
  <sheetPr codeName="Sheet40"/>
  <dimension ref="A2:X37"/>
  <sheetViews>
    <sheetView workbookViewId="0">
      <selection activeCell="E26" sqref="E26"/>
    </sheetView>
  </sheetViews>
  <sheetFormatPr defaultRowHeight="15" x14ac:dyDescent="0.25"/>
  <cols>
    <col min="1" max="1" width="17.85546875" style="133" customWidth="1"/>
    <col min="2" max="2" width="16" style="133" customWidth="1"/>
    <col min="3" max="3" width="21" style="133" customWidth="1"/>
    <col min="4" max="7" width="9.140625" style="133"/>
    <col min="8" max="8" width="13.42578125" style="133" customWidth="1"/>
    <col min="9" max="9" width="16.5703125" style="133" bestFit="1" customWidth="1"/>
    <col min="10" max="10" width="14.28515625" style="133" customWidth="1"/>
    <col min="11" max="11" width="9.140625" style="133"/>
    <col min="12" max="12" width="14.7109375" style="133" bestFit="1" customWidth="1"/>
    <col min="13" max="13" width="9.140625" style="133"/>
    <col min="14" max="14" width="15.42578125" style="133" bestFit="1" customWidth="1"/>
    <col min="15" max="16384" width="9.140625" style="133"/>
  </cols>
  <sheetData>
    <row r="2" spans="1:24" x14ac:dyDescent="0.25">
      <c r="A2" s="44" t="s">
        <v>449</v>
      </c>
      <c r="B2" s="44" t="s">
        <v>122</v>
      </c>
      <c r="C2" s="44" t="s">
        <v>456</v>
      </c>
      <c r="D2" s="44" t="s">
        <v>457</v>
      </c>
    </row>
    <row r="3" spans="1:24" x14ac:dyDescent="0.25">
      <c r="A3" s="136">
        <v>212405</v>
      </c>
      <c r="B3" s="32">
        <v>45679</v>
      </c>
      <c r="C3" s="133" t="s">
        <v>28</v>
      </c>
      <c r="D3" s="133">
        <v>89595</v>
      </c>
      <c r="H3" s="134" t="s">
        <v>449</v>
      </c>
      <c r="I3" s="134" t="s">
        <v>456</v>
      </c>
      <c r="J3" s="134" t="s">
        <v>457</v>
      </c>
    </row>
    <row r="4" spans="1:24" ht="18" customHeight="1" x14ac:dyDescent="0.25">
      <c r="A4" s="136">
        <v>217894</v>
      </c>
      <c r="B4" s="32">
        <v>45680</v>
      </c>
      <c r="C4" s="133" t="s">
        <v>29</v>
      </c>
      <c r="D4" s="133">
        <v>22000</v>
      </c>
      <c r="H4" s="136">
        <v>338652</v>
      </c>
      <c r="I4" s="133" t="str">
        <f>VLOOKUP($H4,$A$2:$D$37,MATCH(I$3,$A$2:$D$2,0),0)</f>
        <v>MOHAN</v>
      </c>
      <c r="J4" s="133">
        <f>VLOOKUP($H4,$A$2:$D$37,MATCH(J$3,$A$2:$D$2,0),0)</f>
        <v>86182</v>
      </c>
      <c r="L4" s="134" t="s">
        <v>449</v>
      </c>
      <c r="M4" s="139">
        <v>45778</v>
      </c>
      <c r="N4" s="139">
        <v>45779</v>
      </c>
      <c r="O4" s="139">
        <v>45780</v>
      </c>
      <c r="P4" s="139">
        <v>45781</v>
      </c>
      <c r="Q4" s="139">
        <v>45782</v>
      </c>
      <c r="R4" s="139">
        <v>45783</v>
      </c>
      <c r="S4" s="139">
        <v>45784</v>
      </c>
      <c r="T4" s="139">
        <v>45785</v>
      </c>
      <c r="U4" s="139">
        <v>45786</v>
      </c>
      <c r="V4" s="139">
        <v>45787</v>
      </c>
    </row>
    <row r="5" spans="1:24" x14ac:dyDescent="0.25">
      <c r="A5" s="136">
        <v>223383</v>
      </c>
      <c r="B5" s="32">
        <v>45681</v>
      </c>
      <c r="C5" s="133" t="s">
        <v>32</v>
      </c>
      <c r="D5" s="133">
        <v>68353</v>
      </c>
      <c r="H5" s="136">
        <v>344141</v>
      </c>
      <c r="I5" s="133" t="str">
        <f t="shared" ref="I5:J15" si="0">VLOOKUP($H5,$A$2:$D$37,MATCH(I$3,$A$2:$D$2,0),0)</f>
        <v>SHANUMGHAM</v>
      </c>
      <c r="J5" s="133">
        <f t="shared" si="0"/>
        <v>34773</v>
      </c>
      <c r="L5" s="133">
        <v>1018</v>
      </c>
      <c r="M5" s="133">
        <f>HLOOKUP(M$4,$L$14:$X$28,MATCH($L5,$M$14:$M$28,0),0)</f>
        <v>553</v>
      </c>
      <c r="N5" s="133">
        <f t="shared" ref="N5:V5" si="1">HLOOKUP(N$4,$L$14:$X$28,MATCH($L5,$M$14:$M$28,0),0)</f>
        <v>815</v>
      </c>
      <c r="O5" s="133">
        <f t="shared" si="1"/>
        <v>811</v>
      </c>
      <c r="P5" s="133">
        <f t="shared" si="1"/>
        <v>574</v>
      </c>
      <c r="Q5" s="133">
        <f t="shared" si="1"/>
        <v>462</v>
      </c>
      <c r="R5" s="133">
        <f t="shared" si="1"/>
        <v>828</v>
      </c>
      <c r="S5" s="133">
        <f t="shared" si="1"/>
        <v>480</v>
      </c>
      <c r="T5" s="133">
        <f t="shared" si="1"/>
        <v>896</v>
      </c>
      <c r="U5" s="133">
        <f t="shared" si="1"/>
        <v>303</v>
      </c>
      <c r="V5" s="133">
        <f t="shared" si="1"/>
        <v>509</v>
      </c>
    </row>
    <row r="6" spans="1:24" x14ac:dyDescent="0.25">
      <c r="A6" s="136">
        <v>228872</v>
      </c>
      <c r="B6" s="32">
        <v>45682</v>
      </c>
      <c r="C6" s="133" t="s">
        <v>42</v>
      </c>
      <c r="D6" s="133">
        <v>59547</v>
      </c>
      <c r="H6" s="136">
        <v>349630</v>
      </c>
      <c r="I6" s="133" t="str">
        <f t="shared" si="0"/>
        <v>PERUMAL</v>
      </c>
      <c r="J6" s="133">
        <f t="shared" si="0"/>
        <v>56592</v>
      </c>
      <c r="L6" s="133">
        <v>1003</v>
      </c>
      <c r="M6" s="133">
        <f t="shared" ref="M6:V11" si="2">HLOOKUP(M$4,$L$14:$X$28,MATCH($L6,$M$14:$M$28,0),0)</f>
        <v>329</v>
      </c>
      <c r="N6" s="133">
        <f t="shared" si="2"/>
        <v>552</v>
      </c>
      <c r="O6" s="133">
        <f t="shared" si="2"/>
        <v>745</v>
      </c>
      <c r="P6" s="133">
        <f t="shared" si="2"/>
        <v>283</v>
      </c>
      <c r="Q6" s="133">
        <f t="shared" si="2"/>
        <v>789</v>
      </c>
      <c r="R6" s="133">
        <f t="shared" si="2"/>
        <v>562</v>
      </c>
      <c r="S6" s="133">
        <f t="shared" si="2"/>
        <v>827</v>
      </c>
      <c r="T6" s="133">
        <f t="shared" si="2"/>
        <v>628</v>
      </c>
      <c r="U6" s="133">
        <f t="shared" si="2"/>
        <v>623</v>
      </c>
      <c r="V6" s="133">
        <f t="shared" si="2"/>
        <v>701</v>
      </c>
    </row>
    <row r="7" spans="1:24" x14ac:dyDescent="0.25">
      <c r="A7" s="136">
        <v>234361</v>
      </c>
      <c r="B7" s="32">
        <v>45683</v>
      </c>
      <c r="C7" s="133" t="s">
        <v>31</v>
      </c>
      <c r="D7" s="133">
        <v>30578</v>
      </c>
      <c r="H7" s="136">
        <v>355119</v>
      </c>
      <c r="I7" s="133" t="str">
        <f t="shared" si="0"/>
        <v>KOMAL</v>
      </c>
      <c r="J7" s="133">
        <f t="shared" si="0"/>
        <v>64487</v>
      </c>
      <c r="L7" s="133">
        <v>898</v>
      </c>
      <c r="M7" s="133">
        <f t="shared" si="2"/>
        <v>365</v>
      </c>
      <c r="N7" s="133">
        <f t="shared" si="2"/>
        <v>463</v>
      </c>
      <c r="O7" s="133">
        <f t="shared" si="2"/>
        <v>755</v>
      </c>
      <c r="P7" s="133">
        <f t="shared" si="2"/>
        <v>659</v>
      </c>
      <c r="Q7" s="133">
        <f t="shared" si="2"/>
        <v>722</v>
      </c>
      <c r="R7" s="133">
        <f t="shared" si="2"/>
        <v>883</v>
      </c>
      <c r="S7" s="133">
        <f t="shared" si="2"/>
        <v>684</v>
      </c>
      <c r="T7" s="133">
        <f t="shared" si="2"/>
        <v>615</v>
      </c>
      <c r="U7" s="133">
        <f t="shared" si="2"/>
        <v>862</v>
      </c>
      <c r="V7" s="133">
        <f t="shared" si="2"/>
        <v>496</v>
      </c>
    </row>
    <row r="8" spans="1:24" x14ac:dyDescent="0.25">
      <c r="A8" s="136">
        <v>239850</v>
      </c>
      <c r="B8" s="32">
        <v>45684</v>
      </c>
      <c r="C8" s="133" t="s">
        <v>29</v>
      </c>
      <c r="D8" s="133">
        <v>29287</v>
      </c>
      <c r="H8" s="136">
        <v>360608</v>
      </c>
      <c r="I8" s="133" t="str">
        <f t="shared" si="0"/>
        <v>CHARU</v>
      </c>
      <c r="J8" s="133">
        <f t="shared" si="0"/>
        <v>31534</v>
      </c>
      <c r="L8" s="133">
        <v>883</v>
      </c>
      <c r="M8" s="133">
        <f t="shared" si="2"/>
        <v>480</v>
      </c>
      <c r="N8" s="133">
        <f t="shared" si="2"/>
        <v>812</v>
      </c>
      <c r="O8" s="133">
        <f t="shared" si="2"/>
        <v>232</v>
      </c>
      <c r="P8" s="133">
        <f t="shared" si="2"/>
        <v>507</v>
      </c>
      <c r="Q8" s="133">
        <f t="shared" si="2"/>
        <v>304</v>
      </c>
      <c r="R8" s="133">
        <f t="shared" si="2"/>
        <v>815</v>
      </c>
      <c r="S8" s="133">
        <f t="shared" si="2"/>
        <v>222</v>
      </c>
      <c r="T8" s="133">
        <f t="shared" si="2"/>
        <v>812</v>
      </c>
      <c r="U8" s="133">
        <f t="shared" si="2"/>
        <v>244</v>
      </c>
      <c r="V8" s="133">
        <f t="shared" si="2"/>
        <v>368</v>
      </c>
    </row>
    <row r="9" spans="1:24" x14ac:dyDescent="0.25">
      <c r="A9" s="136">
        <v>245339</v>
      </c>
      <c r="B9" s="32">
        <v>45685</v>
      </c>
      <c r="C9" s="133" t="s">
        <v>43</v>
      </c>
      <c r="D9" s="133">
        <v>44181</v>
      </c>
      <c r="H9" s="136">
        <v>366097</v>
      </c>
      <c r="I9" s="133" t="str">
        <f t="shared" si="0"/>
        <v>YASH</v>
      </c>
      <c r="J9" s="133">
        <f t="shared" si="0"/>
        <v>84409</v>
      </c>
      <c r="L9" s="133">
        <v>868</v>
      </c>
      <c r="M9" s="133">
        <f t="shared" si="2"/>
        <v>806</v>
      </c>
      <c r="N9" s="133">
        <f t="shared" si="2"/>
        <v>538</v>
      </c>
      <c r="O9" s="133">
        <f t="shared" si="2"/>
        <v>833</v>
      </c>
      <c r="P9" s="133">
        <f t="shared" si="2"/>
        <v>775</v>
      </c>
      <c r="Q9" s="133">
        <f t="shared" si="2"/>
        <v>667</v>
      </c>
      <c r="R9" s="133">
        <f t="shared" si="2"/>
        <v>439</v>
      </c>
      <c r="S9" s="133">
        <f t="shared" si="2"/>
        <v>737</v>
      </c>
      <c r="T9" s="133">
        <f t="shared" si="2"/>
        <v>593</v>
      </c>
      <c r="U9" s="133">
        <f t="shared" si="2"/>
        <v>752</v>
      </c>
      <c r="V9" s="133">
        <f t="shared" si="2"/>
        <v>546</v>
      </c>
    </row>
    <row r="10" spans="1:24" x14ac:dyDescent="0.25">
      <c r="A10" s="136">
        <v>250828</v>
      </c>
      <c r="B10" s="32">
        <v>45686</v>
      </c>
      <c r="C10" s="133" t="s">
        <v>30</v>
      </c>
      <c r="D10" s="133">
        <v>24702</v>
      </c>
      <c r="H10" s="136">
        <v>371586</v>
      </c>
      <c r="I10" s="133" t="str">
        <f t="shared" si="0"/>
        <v>GAURAV</v>
      </c>
      <c r="J10" s="133">
        <f t="shared" si="0"/>
        <v>77394</v>
      </c>
      <c r="L10" s="133">
        <v>853</v>
      </c>
      <c r="M10" s="133">
        <f t="shared" si="2"/>
        <v>782</v>
      </c>
      <c r="N10" s="133">
        <f t="shared" si="2"/>
        <v>798</v>
      </c>
      <c r="O10" s="133">
        <f t="shared" si="2"/>
        <v>319</v>
      </c>
      <c r="P10" s="133">
        <f t="shared" si="2"/>
        <v>553</v>
      </c>
      <c r="Q10" s="133">
        <f t="shared" si="2"/>
        <v>810</v>
      </c>
      <c r="R10" s="133">
        <f t="shared" si="2"/>
        <v>713</v>
      </c>
      <c r="S10" s="133">
        <f t="shared" si="2"/>
        <v>804</v>
      </c>
      <c r="T10" s="133">
        <f t="shared" si="2"/>
        <v>314</v>
      </c>
      <c r="U10" s="133">
        <f t="shared" si="2"/>
        <v>427</v>
      </c>
      <c r="V10" s="133">
        <f t="shared" si="2"/>
        <v>560</v>
      </c>
    </row>
    <row r="11" spans="1:24" x14ac:dyDescent="0.25">
      <c r="A11" s="136">
        <v>256317</v>
      </c>
      <c r="B11" s="32">
        <v>45687</v>
      </c>
      <c r="C11" s="133" t="s">
        <v>28</v>
      </c>
      <c r="D11" s="133">
        <v>26039</v>
      </c>
      <c r="H11" s="136">
        <v>283762</v>
      </c>
      <c r="I11" s="133" t="str">
        <f t="shared" si="0"/>
        <v>SID</v>
      </c>
      <c r="J11" s="133">
        <f t="shared" si="0"/>
        <v>70376</v>
      </c>
      <c r="L11" s="133">
        <v>838</v>
      </c>
      <c r="M11" s="133">
        <f t="shared" si="2"/>
        <v>289</v>
      </c>
      <c r="N11" s="133">
        <f t="shared" si="2"/>
        <v>661</v>
      </c>
      <c r="O11" s="133">
        <f t="shared" si="2"/>
        <v>527</v>
      </c>
      <c r="P11" s="133">
        <f t="shared" si="2"/>
        <v>533</v>
      </c>
      <c r="Q11" s="133">
        <f t="shared" si="2"/>
        <v>818</v>
      </c>
      <c r="R11" s="133">
        <f t="shared" si="2"/>
        <v>826</v>
      </c>
      <c r="S11" s="133">
        <f t="shared" si="2"/>
        <v>640</v>
      </c>
      <c r="T11" s="133">
        <f t="shared" si="2"/>
        <v>739</v>
      </c>
      <c r="U11" s="133">
        <f t="shared" si="2"/>
        <v>600</v>
      </c>
      <c r="V11" s="133">
        <f t="shared" si="2"/>
        <v>583</v>
      </c>
    </row>
    <row r="12" spans="1:24" x14ac:dyDescent="0.25">
      <c r="A12" s="136">
        <v>261806</v>
      </c>
      <c r="B12" s="32">
        <v>45688</v>
      </c>
      <c r="C12" s="133" t="s">
        <v>29</v>
      </c>
      <c r="D12" s="133">
        <v>40727</v>
      </c>
      <c r="H12" s="136">
        <v>289251</v>
      </c>
      <c r="I12" s="133" t="str">
        <f t="shared" si="0"/>
        <v>MOHAN</v>
      </c>
      <c r="J12" s="133">
        <f t="shared" si="0"/>
        <v>67406</v>
      </c>
    </row>
    <row r="13" spans="1:24" x14ac:dyDescent="0.25">
      <c r="A13" s="136">
        <v>267295</v>
      </c>
      <c r="B13" s="32">
        <v>45689</v>
      </c>
      <c r="C13" s="133" t="s">
        <v>32</v>
      </c>
      <c r="D13" s="133">
        <v>20431</v>
      </c>
      <c r="H13" s="136">
        <v>294740</v>
      </c>
      <c r="I13" s="133" t="str">
        <f t="shared" si="0"/>
        <v>SHANMUGHAM</v>
      </c>
      <c r="J13" s="133">
        <f t="shared" si="0"/>
        <v>67351</v>
      </c>
    </row>
    <row r="14" spans="1:24" x14ac:dyDescent="0.25">
      <c r="A14" s="136">
        <v>272784</v>
      </c>
      <c r="B14" s="32">
        <v>45690</v>
      </c>
      <c r="C14" s="133" t="s">
        <v>41</v>
      </c>
      <c r="D14" s="133">
        <v>35125</v>
      </c>
      <c r="H14" s="136">
        <v>300229</v>
      </c>
      <c r="I14" s="133" t="str">
        <f t="shared" si="0"/>
        <v>GAURAV</v>
      </c>
      <c r="J14" s="133">
        <f t="shared" si="0"/>
        <v>85192</v>
      </c>
      <c r="L14" s="44" t="s">
        <v>458</v>
      </c>
      <c r="M14" s="44" t="s">
        <v>449</v>
      </c>
      <c r="N14" s="44" t="s">
        <v>459</v>
      </c>
      <c r="O14" s="138">
        <v>45778</v>
      </c>
      <c r="P14" s="138">
        <v>45779</v>
      </c>
      <c r="Q14" s="138">
        <v>45780</v>
      </c>
      <c r="R14" s="138">
        <v>45781</v>
      </c>
      <c r="S14" s="138">
        <v>45782</v>
      </c>
      <c r="T14" s="138">
        <v>45783</v>
      </c>
      <c r="U14" s="138">
        <v>45784</v>
      </c>
      <c r="V14" s="138">
        <v>45785</v>
      </c>
      <c r="W14" s="138">
        <v>45786</v>
      </c>
      <c r="X14" s="138">
        <v>45787</v>
      </c>
    </row>
    <row r="15" spans="1:24" x14ac:dyDescent="0.25">
      <c r="A15" s="136">
        <v>278273</v>
      </c>
      <c r="B15" s="32">
        <v>45691</v>
      </c>
      <c r="C15" s="133" t="s">
        <v>42</v>
      </c>
      <c r="D15" s="133">
        <v>60367</v>
      </c>
      <c r="H15" s="136">
        <v>305718</v>
      </c>
      <c r="I15" s="133" t="str">
        <f t="shared" si="0"/>
        <v>POOJA</v>
      </c>
      <c r="J15" s="133">
        <f t="shared" si="0"/>
        <v>22974</v>
      </c>
      <c r="L15" s="133" t="s">
        <v>28</v>
      </c>
      <c r="M15" s="133">
        <v>1018</v>
      </c>
      <c r="N15" s="133" t="s">
        <v>55</v>
      </c>
      <c r="O15" s="133">
        <v>553</v>
      </c>
      <c r="P15" s="133">
        <v>815</v>
      </c>
      <c r="Q15" s="133">
        <v>811</v>
      </c>
      <c r="R15" s="133">
        <v>574</v>
      </c>
      <c r="S15" s="133">
        <v>462</v>
      </c>
      <c r="T15" s="133">
        <v>828</v>
      </c>
      <c r="U15" s="133">
        <v>480</v>
      </c>
      <c r="V15" s="133">
        <v>896</v>
      </c>
      <c r="W15" s="133">
        <v>303</v>
      </c>
      <c r="X15" s="133">
        <v>509</v>
      </c>
    </row>
    <row r="16" spans="1:24" x14ac:dyDescent="0.25">
      <c r="A16" s="136">
        <v>283762</v>
      </c>
      <c r="B16" s="32">
        <v>45692</v>
      </c>
      <c r="C16" s="133" t="s">
        <v>36</v>
      </c>
      <c r="D16" s="133">
        <v>70376</v>
      </c>
      <c r="L16" s="133" t="s">
        <v>29</v>
      </c>
      <c r="M16" s="133">
        <v>1003</v>
      </c>
      <c r="N16" s="133" t="s">
        <v>62</v>
      </c>
      <c r="O16" s="133">
        <v>329</v>
      </c>
      <c r="P16" s="133">
        <v>552</v>
      </c>
      <c r="Q16" s="133">
        <v>745</v>
      </c>
      <c r="R16" s="133">
        <v>283</v>
      </c>
      <c r="S16" s="133">
        <v>789</v>
      </c>
      <c r="T16" s="133">
        <v>562</v>
      </c>
      <c r="U16" s="133">
        <v>827</v>
      </c>
      <c r="V16" s="133">
        <v>628</v>
      </c>
      <c r="W16" s="133">
        <v>623</v>
      </c>
      <c r="X16" s="133">
        <v>701</v>
      </c>
    </row>
    <row r="17" spans="1:24" x14ac:dyDescent="0.25">
      <c r="A17" s="136">
        <v>289251</v>
      </c>
      <c r="B17" s="32">
        <v>45693</v>
      </c>
      <c r="C17" s="133" t="s">
        <v>31</v>
      </c>
      <c r="D17" s="133">
        <v>67406</v>
      </c>
      <c r="L17" s="133" t="s">
        <v>32</v>
      </c>
      <c r="M17" s="133">
        <v>988</v>
      </c>
      <c r="N17" s="133" t="s">
        <v>63</v>
      </c>
      <c r="O17" s="133">
        <v>706</v>
      </c>
      <c r="P17" s="133">
        <v>331</v>
      </c>
      <c r="Q17" s="133">
        <v>642</v>
      </c>
      <c r="R17" s="133">
        <v>364</v>
      </c>
      <c r="S17" s="133">
        <v>603</v>
      </c>
      <c r="T17" s="133">
        <v>352</v>
      </c>
      <c r="U17" s="133">
        <v>698</v>
      </c>
      <c r="V17" s="133">
        <v>801</v>
      </c>
      <c r="W17" s="133">
        <v>764</v>
      </c>
      <c r="X17" s="133">
        <v>709</v>
      </c>
    </row>
    <row r="18" spans="1:24" x14ac:dyDescent="0.25">
      <c r="A18" s="136">
        <v>294740</v>
      </c>
      <c r="B18" s="32">
        <v>45694</v>
      </c>
      <c r="C18" s="133" t="s">
        <v>30</v>
      </c>
      <c r="D18" s="133">
        <v>67351</v>
      </c>
      <c r="L18" s="133" t="s">
        <v>42</v>
      </c>
      <c r="M18" s="133">
        <v>973</v>
      </c>
      <c r="N18" s="133" t="s">
        <v>61</v>
      </c>
      <c r="O18" s="133">
        <v>306</v>
      </c>
      <c r="P18" s="133">
        <v>766</v>
      </c>
      <c r="Q18" s="133">
        <v>813</v>
      </c>
      <c r="R18" s="133">
        <v>407</v>
      </c>
      <c r="S18" s="133">
        <v>674</v>
      </c>
      <c r="T18" s="133">
        <v>879</v>
      </c>
      <c r="U18" s="133">
        <v>504</v>
      </c>
      <c r="V18" s="133">
        <v>585</v>
      </c>
      <c r="W18" s="133">
        <v>464</v>
      </c>
      <c r="X18" s="133">
        <v>831</v>
      </c>
    </row>
    <row r="19" spans="1:24" x14ac:dyDescent="0.25">
      <c r="A19" s="136">
        <v>300229</v>
      </c>
      <c r="B19" s="32">
        <v>45695</v>
      </c>
      <c r="C19" s="133" t="s">
        <v>40</v>
      </c>
      <c r="D19" s="133">
        <v>85192</v>
      </c>
      <c r="L19" s="133" t="s">
        <v>31</v>
      </c>
      <c r="M19" s="133">
        <v>958</v>
      </c>
      <c r="N19" s="133" t="s">
        <v>56</v>
      </c>
      <c r="O19" s="133">
        <v>622</v>
      </c>
      <c r="P19" s="133">
        <v>473</v>
      </c>
      <c r="Q19" s="133">
        <v>390</v>
      </c>
      <c r="R19" s="133">
        <v>329</v>
      </c>
      <c r="S19" s="133">
        <v>374</v>
      </c>
      <c r="T19" s="133">
        <v>278</v>
      </c>
      <c r="U19" s="133">
        <v>779</v>
      </c>
      <c r="V19" s="133">
        <v>606</v>
      </c>
      <c r="W19" s="133">
        <v>409</v>
      </c>
      <c r="X19" s="133">
        <v>263</v>
      </c>
    </row>
    <row r="20" spans="1:24" x14ac:dyDescent="0.25">
      <c r="A20" s="136">
        <v>305718</v>
      </c>
      <c r="B20" s="32">
        <v>45696</v>
      </c>
      <c r="C20" s="133" t="s">
        <v>43</v>
      </c>
      <c r="D20" s="133">
        <v>22974</v>
      </c>
      <c r="L20" s="133" t="s">
        <v>29</v>
      </c>
      <c r="M20" s="133">
        <v>943</v>
      </c>
      <c r="N20" s="133" t="s">
        <v>59</v>
      </c>
      <c r="O20" s="133">
        <v>388</v>
      </c>
      <c r="P20" s="133">
        <v>689</v>
      </c>
      <c r="Q20" s="133">
        <v>220</v>
      </c>
      <c r="R20" s="133">
        <v>632</v>
      </c>
      <c r="S20" s="133">
        <v>339</v>
      </c>
      <c r="T20" s="133">
        <v>250</v>
      </c>
      <c r="U20" s="133">
        <v>516</v>
      </c>
      <c r="V20" s="133">
        <v>686</v>
      </c>
      <c r="W20" s="133">
        <v>401</v>
      </c>
      <c r="X20" s="133">
        <v>758</v>
      </c>
    </row>
    <row r="21" spans="1:24" x14ac:dyDescent="0.25">
      <c r="A21" s="136">
        <v>311207</v>
      </c>
      <c r="B21" s="32">
        <v>45697</v>
      </c>
      <c r="C21" s="133" t="s">
        <v>33</v>
      </c>
      <c r="D21" s="133">
        <v>57190</v>
      </c>
      <c r="L21" s="133" t="s">
        <v>43</v>
      </c>
      <c r="M21" s="133">
        <v>928</v>
      </c>
      <c r="N21" s="133" t="s">
        <v>57</v>
      </c>
      <c r="O21" s="133">
        <v>656</v>
      </c>
      <c r="P21" s="133">
        <v>878</v>
      </c>
      <c r="Q21" s="133">
        <v>204</v>
      </c>
      <c r="R21" s="133">
        <v>717</v>
      </c>
      <c r="S21" s="133">
        <v>461</v>
      </c>
      <c r="T21" s="133">
        <v>687</v>
      </c>
      <c r="U21" s="133">
        <v>882</v>
      </c>
      <c r="V21" s="133">
        <v>366</v>
      </c>
      <c r="W21" s="133">
        <v>481</v>
      </c>
      <c r="X21" s="133">
        <v>548</v>
      </c>
    </row>
    <row r="22" spans="1:24" x14ac:dyDescent="0.25">
      <c r="A22" s="136">
        <v>316696</v>
      </c>
      <c r="B22" s="32">
        <v>45698</v>
      </c>
      <c r="C22" s="133" t="s">
        <v>37</v>
      </c>
      <c r="D22" s="133">
        <v>88308</v>
      </c>
      <c r="L22" s="133" t="s">
        <v>30</v>
      </c>
      <c r="M22" s="133">
        <v>913</v>
      </c>
      <c r="N22" s="133" t="s">
        <v>58</v>
      </c>
      <c r="O22" s="133">
        <v>398</v>
      </c>
      <c r="P22" s="133">
        <v>466</v>
      </c>
      <c r="Q22" s="133">
        <v>409</v>
      </c>
      <c r="R22" s="133">
        <v>492</v>
      </c>
      <c r="S22" s="133">
        <v>464</v>
      </c>
      <c r="T22" s="133">
        <v>214</v>
      </c>
      <c r="U22" s="133">
        <v>240</v>
      </c>
      <c r="V22" s="133">
        <v>799</v>
      </c>
      <c r="W22" s="133">
        <v>402</v>
      </c>
      <c r="X22" s="133">
        <v>805</v>
      </c>
    </row>
    <row r="23" spans="1:24" x14ac:dyDescent="0.25">
      <c r="A23" s="136">
        <v>322185</v>
      </c>
      <c r="B23" s="32">
        <v>45699</v>
      </c>
      <c r="C23" s="133" t="s">
        <v>44</v>
      </c>
      <c r="D23" s="133">
        <v>56408</v>
      </c>
      <c r="L23" s="133" t="s">
        <v>28</v>
      </c>
      <c r="M23" s="133">
        <v>898</v>
      </c>
      <c r="N23" s="133" t="s">
        <v>55</v>
      </c>
      <c r="O23" s="133">
        <v>365</v>
      </c>
      <c r="P23" s="133">
        <v>463</v>
      </c>
      <c r="Q23" s="133">
        <v>755</v>
      </c>
      <c r="R23" s="133">
        <v>659</v>
      </c>
      <c r="S23" s="133">
        <v>722</v>
      </c>
      <c r="T23" s="133">
        <v>883</v>
      </c>
      <c r="U23" s="133">
        <v>684</v>
      </c>
      <c r="V23" s="133">
        <v>615</v>
      </c>
      <c r="W23" s="133">
        <v>862</v>
      </c>
      <c r="X23" s="133">
        <v>496</v>
      </c>
    </row>
    <row r="24" spans="1:24" x14ac:dyDescent="0.25">
      <c r="A24" s="136">
        <v>327674</v>
      </c>
      <c r="B24" s="32">
        <v>45700</v>
      </c>
      <c r="C24" s="133" t="s">
        <v>138</v>
      </c>
      <c r="D24" s="133">
        <v>48653</v>
      </c>
      <c r="L24" s="133" t="s">
        <v>29</v>
      </c>
      <c r="M24" s="133">
        <v>883</v>
      </c>
      <c r="N24" s="133" t="s">
        <v>56</v>
      </c>
      <c r="O24" s="133">
        <v>480</v>
      </c>
      <c r="P24" s="133">
        <v>812</v>
      </c>
      <c r="Q24" s="133">
        <v>232</v>
      </c>
      <c r="R24" s="133">
        <v>507</v>
      </c>
      <c r="S24" s="133">
        <v>304</v>
      </c>
      <c r="T24" s="133">
        <v>815</v>
      </c>
      <c r="U24" s="133">
        <v>222</v>
      </c>
      <c r="V24" s="133">
        <v>812</v>
      </c>
      <c r="W24" s="133">
        <v>244</v>
      </c>
      <c r="X24" s="133">
        <v>368</v>
      </c>
    </row>
    <row r="25" spans="1:24" x14ac:dyDescent="0.25">
      <c r="A25" s="136">
        <v>333163</v>
      </c>
      <c r="B25" s="32">
        <v>45701</v>
      </c>
      <c r="C25" s="133" t="s">
        <v>28</v>
      </c>
      <c r="D25" s="133">
        <v>52197</v>
      </c>
      <c r="L25" s="133" t="s">
        <v>32</v>
      </c>
      <c r="M25" s="133">
        <v>868</v>
      </c>
      <c r="N25" s="133" t="s">
        <v>57</v>
      </c>
      <c r="O25" s="133">
        <v>806</v>
      </c>
      <c r="P25" s="133">
        <v>538</v>
      </c>
      <c r="Q25" s="133">
        <v>833</v>
      </c>
      <c r="R25" s="133">
        <v>775</v>
      </c>
      <c r="S25" s="133">
        <v>667</v>
      </c>
      <c r="T25" s="133">
        <v>439</v>
      </c>
      <c r="U25" s="133">
        <v>737</v>
      </c>
      <c r="V25" s="133">
        <v>593</v>
      </c>
      <c r="W25" s="133">
        <v>752</v>
      </c>
      <c r="X25" s="133">
        <v>546</v>
      </c>
    </row>
    <row r="26" spans="1:24" x14ac:dyDescent="0.25">
      <c r="A26" s="136">
        <v>338652</v>
      </c>
      <c r="B26" s="32">
        <v>45702</v>
      </c>
      <c r="C26" s="133" t="s">
        <v>31</v>
      </c>
      <c r="D26" s="133">
        <v>86182</v>
      </c>
      <c r="L26" s="133" t="s">
        <v>41</v>
      </c>
      <c r="M26" s="133">
        <v>853</v>
      </c>
      <c r="N26" s="133" t="s">
        <v>58</v>
      </c>
      <c r="O26" s="133">
        <v>782</v>
      </c>
      <c r="P26" s="133">
        <v>798</v>
      </c>
      <c r="Q26" s="133">
        <v>319</v>
      </c>
      <c r="R26" s="133">
        <v>553</v>
      </c>
      <c r="S26" s="133">
        <v>810</v>
      </c>
      <c r="T26" s="133">
        <v>713</v>
      </c>
      <c r="U26" s="133">
        <v>804</v>
      </c>
      <c r="V26" s="133">
        <v>314</v>
      </c>
      <c r="W26" s="133">
        <v>427</v>
      </c>
      <c r="X26" s="133">
        <v>560</v>
      </c>
    </row>
    <row r="27" spans="1:24" x14ac:dyDescent="0.25">
      <c r="A27" s="136">
        <v>344141</v>
      </c>
      <c r="B27" s="32">
        <v>45703</v>
      </c>
      <c r="C27" s="133" t="s">
        <v>46</v>
      </c>
      <c r="D27" s="133">
        <v>34773</v>
      </c>
      <c r="L27" s="133" t="s">
        <v>42</v>
      </c>
      <c r="M27" s="133">
        <v>838</v>
      </c>
      <c r="N27" s="133" t="s">
        <v>59</v>
      </c>
      <c r="O27" s="133">
        <v>289</v>
      </c>
      <c r="P27" s="133">
        <v>661</v>
      </c>
      <c r="Q27" s="133">
        <v>527</v>
      </c>
      <c r="R27" s="133">
        <v>533</v>
      </c>
      <c r="S27" s="133">
        <v>818</v>
      </c>
      <c r="T27" s="133">
        <v>826</v>
      </c>
      <c r="U27" s="133">
        <v>640</v>
      </c>
      <c r="V27" s="133">
        <v>739</v>
      </c>
      <c r="W27" s="133">
        <v>600</v>
      </c>
      <c r="X27" s="133">
        <v>583</v>
      </c>
    </row>
    <row r="28" spans="1:24" x14ac:dyDescent="0.25">
      <c r="A28" s="136">
        <v>349630</v>
      </c>
      <c r="B28" s="32">
        <v>45704</v>
      </c>
      <c r="C28" s="133" t="s">
        <v>35</v>
      </c>
      <c r="D28" s="133">
        <v>56592</v>
      </c>
      <c r="L28" s="133" t="s">
        <v>36</v>
      </c>
      <c r="M28" s="133">
        <v>823</v>
      </c>
      <c r="N28" s="133" t="s">
        <v>60</v>
      </c>
      <c r="O28" s="133">
        <v>729</v>
      </c>
      <c r="P28" s="133">
        <v>415</v>
      </c>
      <c r="Q28" s="133">
        <v>282</v>
      </c>
      <c r="R28" s="133">
        <v>367</v>
      </c>
      <c r="S28" s="133">
        <v>223</v>
      </c>
      <c r="T28" s="133">
        <v>212</v>
      </c>
      <c r="U28" s="133">
        <v>271</v>
      </c>
      <c r="V28" s="133">
        <v>743</v>
      </c>
      <c r="W28" s="133">
        <v>475</v>
      </c>
      <c r="X28" s="133">
        <v>578</v>
      </c>
    </row>
    <row r="29" spans="1:24" x14ac:dyDescent="0.25">
      <c r="A29" s="136">
        <v>355119</v>
      </c>
      <c r="B29" s="32">
        <v>45705</v>
      </c>
      <c r="C29" s="133" t="s">
        <v>29</v>
      </c>
      <c r="D29" s="133">
        <v>64487</v>
      </c>
    </row>
    <row r="30" spans="1:24" x14ac:dyDescent="0.25">
      <c r="A30" s="136">
        <v>360608</v>
      </c>
      <c r="B30" s="32">
        <v>45706</v>
      </c>
      <c r="C30" s="133" t="s">
        <v>33</v>
      </c>
      <c r="D30" s="133">
        <v>31534</v>
      </c>
    </row>
    <row r="31" spans="1:24" x14ac:dyDescent="0.25">
      <c r="A31" s="136">
        <v>366097</v>
      </c>
      <c r="B31" s="32">
        <v>45707</v>
      </c>
      <c r="C31" s="133" t="s">
        <v>37</v>
      </c>
      <c r="D31" s="133">
        <v>84409</v>
      </c>
    </row>
    <row r="32" spans="1:24" x14ac:dyDescent="0.25">
      <c r="A32" s="136">
        <v>371586</v>
      </c>
      <c r="B32" s="32">
        <v>45708</v>
      </c>
      <c r="C32" s="133" t="s">
        <v>40</v>
      </c>
      <c r="D32" s="133">
        <v>77394</v>
      </c>
    </row>
    <row r="33" spans="1:4" x14ac:dyDescent="0.25">
      <c r="A33" s="136">
        <v>377075</v>
      </c>
      <c r="B33" s="32">
        <v>45709</v>
      </c>
      <c r="C33" s="133" t="s">
        <v>43</v>
      </c>
      <c r="D33" s="133">
        <v>50358</v>
      </c>
    </row>
    <row r="34" spans="1:4" x14ac:dyDescent="0.25">
      <c r="A34" s="136">
        <v>382564</v>
      </c>
      <c r="B34" s="32">
        <v>45710</v>
      </c>
      <c r="C34" s="133" t="s">
        <v>37</v>
      </c>
      <c r="D34" s="133">
        <v>56351</v>
      </c>
    </row>
    <row r="35" spans="1:4" x14ac:dyDescent="0.25">
      <c r="A35" s="136">
        <v>388053</v>
      </c>
      <c r="B35" s="32">
        <v>45711</v>
      </c>
      <c r="C35" s="133" t="s">
        <v>44</v>
      </c>
      <c r="D35" s="133">
        <v>38501</v>
      </c>
    </row>
    <row r="36" spans="1:4" x14ac:dyDescent="0.25">
      <c r="A36" s="136">
        <v>393542</v>
      </c>
      <c r="B36" s="32">
        <v>45712</v>
      </c>
      <c r="C36" s="133" t="s">
        <v>36</v>
      </c>
      <c r="D36" s="133">
        <v>44490</v>
      </c>
    </row>
    <row r="37" spans="1:4" x14ac:dyDescent="0.25">
      <c r="A37" s="136">
        <v>399031</v>
      </c>
      <c r="B37" s="32">
        <v>45713</v>
      </c>
      <c r="C37" s="133" t="s">
        <v>41</v>
      </c>
      <c r="D37" s="133">
        <v>25482</v>
      </c>
    </row>
  </sheetData>
  <phoneticPr fontId="2"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3BE89-31DB-4508-9A3D-D00E08BA937A}">
  <sheetPr codeName="Sheet41"/>
  <dimension ref="A2:G28"/>
  <sheetViews>
    <sheetView workbookViewId="0">
      <selection activeCell="Q20" sqref="Q20:Q21"/>
    </sheetView>
  </sheetViews>
  <sheetFormatPr defaultRowHeight="15" x14ac:dyDescent="0.25"/>
  <cols>
    <col min="1" max="1" width="28.85546875" style="133" customWidth="1"/>
    <col min="2" max="2" width="16.42578125" style="133" customWidth="1"/>
    <col min="3" max="3" width="14" style="133" customWidth="1"/>
    <col min="4" max="4" width="14.140625" style="133" customWidth="1"/>
    <col min="5" max="5" width="9.140625" style="133"/>
    <col min="6" max="6" width="30.42578125" style="133" customWidth="1"/>
    <col min="7" max="7" width="37.42578125" style="133" customWidth="1"/>
    <col min="8" max="16384" width="9.140625" style="133"/>
  </cols>
  <sheetData>
    <row r="2" spans="1:7" x14ac:dyDescent="0.25">
      <c r="A2" s="134" t="s">
        <v>460</v>
      </c>
      <c r="B2" s="134" t="s">
        <v>19</v>
      </c>
      <c r="C2" s="134" t="s">
        <v>20</v>
      </c>
      <c r="D2" s="134" t="s">
        <v>18</v>
      </c>
      <c r="F2" s="134" t="s">
        <v>461</v>
      </c>
      <c r="G2" s="134" t="s">
        <v>462</v>
      </c>
    </row>
    <row r="3" spans="1:7" x14ac:dyDescent="0.25">
      <c r="A3" s="133" t="s">
        <v>28</v>
      </c>
      <c r="B3" s="133">
        <v>84</v>
      </c>
      <c r="C3" s="133">
        <v>11</v>
      </c>
      <c r="D3" s="133">
        <v>55</v>
      </c>
      <c r="F3" s="133" t="str">
        <f>IF(B3=MIN(B3:D3),"HINDI",IF(C3=MIN(B3:D3),"ENGLISH","MATHS"))</f>
        <v>ENGLISH</v>
      </c>
      <c r="G3" s="133" t="str">
        <f>IF(B3=MAX(B3:D3),"HINDI",IF(C3=MAX(B3:D3),"ENGLISH","MATHS"))</f>
        <v>HINDI</v>
      </c>
    </row>
    <row r="4" spans="1:7" x14ac:dyDescent="0.25">
      <c r="A4" s="133" t="s">
        <v>29</v>
      </c>
      <c r="B4" s="133">
        <v>61</v>
      </c>
      <c r="C4" s="133">
        <v>46</v>
      </c>
      <c r="D4" s="133">
        <v>75</v>
      </c>
      <c r="F4" s="133" t="str">
        <f t="shared" ref="F4:F20" si="0">IF(B4=MIN(B4:D4),"HINDI",IF(C4=MIN(B4:D4),"ENGLISH","MATHS"))</f>
        <v>ENGLISH</v>
      </c>
      <c r="G4" s="133" t="str">
        <f t="shared" ref="G4:G20" si="1">IF(B4=MAX(B4:D4),"HINDI",IF(C4=MAX(B4:D4),"ENGLISH","MATHS"))</f>
        <v>MATHS</v>
      </c>
    </row>
    <row r="5" spans="1:7" x14ac:dyDescent="0.25">
      <c r="A5" s="133" t="s">
        <v>32</v>
      </c>
      <c r="B5" s="133">
        <v>17</v>
      </c>
      <c r="C5" s="133">
        <v>57</v>
      </c>
      <c r="D5" s="133">
        <v>98</v>
      </c>
      <c r="F5" s="133" t="str">
        <f t="shared" si="0"/>
        <v>HINDI</v>
      </c>
      <c r="G5" s="133" t="str">
        <f t="shared" si="1"/>
        <v>MATHS</v>
      </c>
    </row>
    <row r="6" spans="1:7" x14ac:dyDescent="0.25">
      <c r="A6" s="133" t="s">
        <v>42</v>
      </c>
      <c r="B6" s="133">
        <v>67</v>
      </c>
      <c r="C6" s="133">
        <v>60</v>
      </c>
      <c r="D6" s="133">
        <v>86</v>
      </c>
      <c r="F6" s="133" t="str">
        <f t="shared" si="0"/>
        <v>ENGLISH</v>
      </c>
      <c r="G6" s="133" t="str">
        <f t="shared" si="1"/>
        <v>MATHS</v>
      </c>
    </row>
    <row r="7" spans="1:7" x14ac:dyDescent="0.25">
      <c r="A7" s="133" t="s">
        <v>31</v>
      </c>
      <c r="B7" s="133">
        <v>97</v>
      </c>
      <c r="C7" s="133">
        <v>20</v>
      </c>
      <c r="D7" s="133">
        <v>28</v>
      </c>
      <c r="F7" s="133" t="str">
        <f t="shared" si="0"/>
        <v>ENGLISH</v>
      </c>
      <c r="G7" s="133" t="str">
        <f t="shared" si="1"/>
        <v>HINDI</v>
      </c>
    </row>
    <row r="8" spans="1:7" x14ac:dyDescent="0.25">
      <c r="A8" s="133" t="s">
        <v>29</v>
      </c>
      <c r="B8" s="133">
        <v>92</v>
      </c>
      <c r="C8" s="133">
        <v>71</v>
      </c>
      <c r="D8" s="133">
        <v>98</v>
      </c>
      <c r="F8" s="133" t="str">
        <f t="shared" si="0"/>
        <v>ENGLISH</v>
      </c>
      <c r="G8" s="133" t="str">
        <f t="shared" si="1"/>
        <v>MATHS</v>
      </c>
    </row>
    <row r="9" spans="1:7" x14ac:dyDescent="0.25">
      <c r="A9" s="133" t="s">
        <v>43</v>
      </c>
      <c r="B9" s="133">
        <v>78</v>
      </c>
      <c r="C9" s="133">
        <v>43</v>
      </c>
      <c r="D9" s="133">
        <v>95</v>
      </c>
      <c r="F9" s="133" t="str">
        <f t="shared" si="0"/>
        <v>ENGLISH</v>
      </c>
      <c r="G9" s="133" t="str">
        <f t="shared" si="1"/>
        <v>MATHS</v>
      </c>
    </row>
    <row r="10" spans="1:7" x14ac:dyDescent="0.25">
      <c r="A10" s="133" t="s">
        <v>30</v>
      </c>
      <c r="B10" s="133">
        <v>25</v>
      </c>
      <c r="C10" s="133">
        <v>96</v>
      </c>
      <c r="D10" s="133">
        <v>15</v>
      </c>
      <c r="F10" s="133" t="str">
        <f t="shared" si="0"/>
        <v>MATHS</v>
      </c>
      <c r="G10" s="133" t="str">
        <f t="shared" si="1"/>
        <v>ENGLISH</v>
      </c>
    </row>
    <row r="11" spans="1:7" x14ac:dyDescent="0.25">
      <c r="A11" s="133" t="s">
        <v>28</v>
      </c>
      <c r="B11" s="133">
        <v>12</v>
      </c>
      <c r="C11" s="133">
        <v>85</v>
      </c>
      <c r="D11" s="133">
        <v>53</v>
      </c>
      <c r="F11" s="133" t="str">
        <f t="shared" si="0"/>
        <v>HINDI</v>
      </c>
      <c r="G11" s="133" t="str">
        <f t="shared" si="1"/>
        <v>ENGLISH</v>
      </c>
    </row>
    <row r="12" spans="1:7" x14ac:dyDescent="0.25">
      <c r="A12" s="133" t="s">
        <v>29</v>
      </c>
      <c r="B12" s="133">
        <v>30</v>
      </c>
      <c r="C12" s="133">
        <v>55</v>
      </c>
      <c r="D12" s="133">
        <v>62</v>
      </c>
      <c r="F12" s="133" t="str">
        <f t="shared" si="0"/>
        <v>HINDI</v>
      </c>
      <c r="G12" s="133" t="str">
        <f t="shared" si="1"/>
        <v>MATHS</v>
      </c>
    </row>
    <row r="13" spans="1:7" x14ac:dyDescent="0.25">
      <c r="A13" s="133" t="s">
        <v>32</v>
      </c>
      <c r="B13" s="133">
        <v>35</v>
      </c>
      <c r="C13" s="133">
        <v>65</v>
      </c>
      <c r="D13" s="133">
        <v>86</v>
      </c>
      <c r="F13" s="133" t="str">
        <f t="shared" si="0"/>
        <v>HINDI</v>
      </c>
      <c r="G13" s="133" t="str">
        <f t="shared" si="1"/>
        <v>MATHS</v>
      </c>
    </row>
    <row r="14" spans="1:7" x14ac:dyDescent="0.25">
      <c r="A14" s="133" t="s">
        <v>41</v>
      </c>
      <c r="B14" s="133">
        <v>93</v>
      </c>
      <c r="C14" s="133">
        <v>34</v>
      </c>
      <c r="D14" s="133">
        <v>66</v>
      </c>
      <c r="F14" s="133" t="str">
        <f t="shared" si="0"/>
        <v>ENGLISH</v>
      </c>
      <c r="G14" s="133" t="str">
        <f t="shared" si="1"/>
        <v>HINDI</v>
      </c>
    </row>
    <row r="15" spans="1:7" x14ac:dyDescent="0.25">
      <c r="A15" s="133" t="s">
        <v>42</v>
      </c>
      <c r="B15" s="133">
        <v>72</v>
      </c>
      <c r="C15" s="133">
        <v>77</v>
      </c>
      <c r="D15" s="133">
        <v>42</v>
      </c>
      <c r="F15" s="133" t="str">
        <f t="shared" si="0"/>
        <v>MATHS</v>
      </c>
      <c r="G15" s="133" t="str">
        <f t="shared" si="1"/>
        <v>ENGLISH</v>
      </c>
    </row>
    <row r="16" spans="1:7" x14ac:dyDescent="0.25">
      <c r="A16" s="133" t="s">
        <v>36</v>
      </c>
      <c r="B16" s="133">
        <v>22</v>
      </c>
      <c r="C16" s="133">
        <v>79</v>
      </c>
      <c r="D16" s="133">
        <v>40</v>
      </c>
      <c r="F16" s="133" t="str">
        <f t="shared" si="0"/>
        <v>HINDI</v>
      </c>
      <c r="G16" s="133" t="str">
        <f t="shared" si="1"/>
        <v>ENGLISH</v>
      </c>
    </row>
    <row r="17" spans="1:7" x14ac:dyDescent="0.25">
      <c r="A17" s="133" t="s">
        <v>31</v>
      </c>
      <c r="B17" s="133">
        <v>89</v>
      </c>
      <c r="C17" s="133">
        <v>28</v>
      </c>
      <c r="D17" s="133">
        <v>76</v>
      </c>
      <c r="F17" s="133" t="str">
        <f t="shared" si="0"/>
        <v>ENGLISH</v>
      </c>
      <c r="G17" s="133" t="str">
        <f t="shared" si="1"/>
        <v>HINDI</v>
      </c>
    </row>
    <row r="18" spans="1:7" x14ac:dyDescent="0.25">
      <c r="A18" s="133" t="s">
        <v>30</v>
      </c>
      <c r="B18" s="133">
        <v>91</v>
      </c>
      <c r="C18" s="133">
        <v>47</v>
      </c>
      <c r="D18" s="133">
        <v>69</v>
      </c>
      <c r="F18" s="133" t="str">
        <f t="shared" si="0"/>
        <v>ENGLISH</v>
      </c>
      <c r="G18" s="133" t="str">
        <f t="shared" si="1"/>
        <v>HINDI</v>
      </c>
    </row>
    <row r="19" spans="1:7" x14ac:dyDescent="0.25">
      <c r="A19" s="133" t="s">
        <v>40</v>
      </c>
      <c r="B19" s="133">
        <v>66</v>
      </c>
      <c r="C19" s="133">
        <v>27</v>
      </c>
      <c r="D19" s="133">
        <v>91</v>
      </c>
      <c r="F19" s="133" t="str">
        <f t="shared" si="0"/>
        <v>ENGLISH</v>
      </c>
      <c r="G19" s="133" t="str">
        <f t="shared" si="1"/>
        <v>MATHS</v>
      </c>
    </row>
    <row r="20" spans="1:7" x14ac:dyDescent="0.25">
      <c r="A20" s="133" t="s">
        <v>43</v>
      </c>
      <c r="B20" s="133">
        <v>67</v>
      </c>
      <c r="C20" s="133">
        <v>34</v>
      </c>
      <c r="D20" s="133">
        <v>60</v>
      </c>
      <c r="F20" s="133" t="str">
        <f t="shared" si="0"/>
        <v>ENGLISH</v>
      </c>
      <c r="G20" s="133" t="str">
        <f t="shared" si="1"/>
        <v>HINDI</v>
      </c>
    </row>
    <row r="22" spans="1:7" x14ac:dyDescent="0.25">
      <c r="F22" s="133" t="str">
        <f>IF(B3=MIN(B3:D3),"HINDI",IF(C3=MIN(B3:D3),"ENGLISH","MATHS"))</f>
        <v>ENGLISH</v>
      </c>
      <c r="G22" s="133" t="str">
        <f>IF(B3=MAX(B3:D3),"HINDI",IF(C3=MAX(B3:D3),"ENGLISH","MATHS"))</f>
        <v>HINDI</v>
      </c>
    </row>
    <row r="23" spans="1:7" x14ac:dyDescent="0.25">
      <c r="F23" s="237" t="str">
        <f t="shared" ref="F23:F28" si="2">IF(B4=MIN(B4:D4),"HINDI",IF(C4=MIN(B4:D4),"ENGLISH","MATHS"))</f>
        <v>ENGLISH</v>
      </c>
      <c r="G23" s="237" t="str">
        <f t="shared" ref="G23:G28" si="3">IF(B4=MAX(B4:D4),"HINDI",IF(C4=MAX(B4:D4),"ENGLISH","MATHS"))</f>
        <v>MATHS</v>
      </c>
    </row>
    <row r="24" spans="1:7" x14ac:dyDescent="0.25">
      <c r="F24" s="237" t="str">
        <f t="shared" si="2"/>
        <v>HINDI</v>
      </c>
      <c r="G24" s="237" t="str">
        <f t="shared" si="3"/>
        <v>MATHS</v>
      </c>
    </row>
    <row r="25" spans="1:7" x14ac:dyDescent="0.25">
      <c r="F25" s="237" t="str">
        <f t="shared" si="2"/>
        <v>ENGLISH</v>
      </c>
      <c r="G25" s="237" t="str">
        <f t="shared" si="3"/>
        <v>MATHS</v>
      </c>
    </row>
    <row r="26" spans="1:7" x14ac:dyDescent="0.25">
      <c r="F26" s="237" t="str">
        <f t="shared" si="2"/>
        <v>ENGLISH</v>
      </c>
      <c r="G26" s="237" t="str">
        <f t="shared" si="3"/>
        <v>HINDI</v>
      </c>
    </row>
    <row r="27" spans="1:7" x14ac:dyDescent="0.25">
      <c r="F27" s="237" t="str">
        <f t="shared" si="2"/>
        <v>ENGLISH</v>
      </c>
      <c r="G27" s="237" t="str">
        <f t="shared" si="3"/>
        <v>MATHS</v>
      </c>
    </row>
    <row r="28" spans="1:7" x14ac:dyDescent="0.25">
      <c r="F28" s="237" t="str">
        <f t="shared" si="2"/>
        <v>ENGLISH</v>
      </c>
      <c r="G28" s="237" t="str">
        <f t="shared" si="3"/>
        <v>MATHS</v>
      </c>
    </row>
  </sheetData>
  <phoneticPr fontId="2"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C77C2-9CD3-4E5F-9FD1-6B1DD8FDF798}">
  <sheetPr codeName="Sheet42"/>
  <dimension ref="A2:L12"/>
  <sheetViews>
    <sheetView workbookViewId="0">
      <selection activeCell="L4" sqref="L4"/>
    </sheetView>
  </sheetViews>
  <sheetFormatPr defaultRowHeight="15" x14ac:dyDescent="0.25"/>
  <cols>
    <col min="1" max="1" width="16.7109375" style="133" customWidth="1"/>
    <col min="2" max="2" width="21.28515625" style="133" customWidth="1"/>
    <col min="3" max="3" width="18.5703125" style="133" customWidth="1"/>
    <col min="4" max="4" width="9.140625" style="133"/>
    <col min="5" max="5" width="15" style="133" customWidth="1"/>
    <col min="6" max="6" width="22.28515625" style="133" customWidth="1"/>
    <col min="7" max="7" width="18.140625" style="133" customWidth="1"/>
    <col min="8" max="10" width="9.140625" style="133"/>
    <col min="11" max="11" width="47.5703125" style="133" customWidth="1"/>
    <col min="12" max="16384" width="9.140625" style="133"/>
  </cols>
  <sheetData>
    <row r="2" spans="1:12" x14ac:dyDescent="0.25">
      <c r="A2" s="244" t="s">
        <v>463</v>
      </c>
      <c r="B2" s="244"/>
      <c r="C2" s="244"/>
      <c r="E2" s="244" t="s">
        <v>465</v>
      </c>
      <c r="F2" s="244"/>
      <c r="G2" s="244"/>
      <c r="K2" s="134" t="s">
        <v>464</v>
      </c>
    </row>
    <row r="3" spans="1:12" x14ac:dyDescent="0.25">
      <c r="A3" s="140" t="s">
        <v>219</v>
      </c>
      <c r="B3" s="140" t="s">
        <v>142</v>
      </c>
      <c r="C3" s="140" t="s">
        <v>122</v>
      </c>
      <c r="E3" s="140" t="s">
        <v>219</v>
      </c>
      <c r="F3" s="140" t="s">
        <v>142</v>
      </c>
      <c r="G3" s="140" t="s">
        <v>122</v>
      </c>
      <c r="K3" s="215" t="s">
        <v>227</v>
      </c>
      <c r="L3" s="133">
        <f>SUMIF($A$4:$A$12,A4,$B$4:$B$12)-SUMIF($E$4:$E$11,E4,$F$4:$F$11)</f>
        <v>240</v>
      </c>
    </row>
    <row r="4" spans="1:12" x14ac:dyDescent="0.25">
      <c r="A4" s="133" t="s">
        <v>227</v>
      </c>
      <c r="B4" s="133">
        <v>60</v>
      </c>
      <c r="C4" s="32">
        <v>45679</v>
      </c>
      <c r="E4" s="133" t="s">
        <v>227</v>
      </c>
      <c r="F4" s="133">
        <v>40</v>
      </c>
      <c r="G4" s="32">
        <v>45679</v>
      </c>
      <c r="K4" s="215" t="s">
        <v>466</v>
      </c>
      <c r="L4" s="215">
        <f t="shared" ref="L4:L7" si="0">SUMIF(A5:A13,A5,B5:B13)-SUMIF(E5:E12,E5,F5:F12)</f>
        <v>74</v>
      </c>
    </row>
    <row r="5" spans="1:12" x14ac:dyDescent="0.25">
      <c r="A5" s="133" t="s">
        <v>466</v>
      </c>
      <c r="B5" s="133">
        <v>50</v>
      </c>
      <c r="C5" s="32">
        <v>45680</v>
      </c>
      <c r="E5" s="133" t="s">
        <v>466</v>
      </c>
      <c r="F5" s="133">
        <v>20</v>
      </c>
      <c r="G5" s="32">
        <v>45680</v>
      </c>
      <c r="K5" s="215" t="s">
        <v>467</v>
      </c>
      <c r="L5" s="215">
        <f t="shared" si="0"/>
        <v>10</v>
      </c>
    </row>
    <row r="6" spans="1:12" x14ac:dyDescent="0.25">
      <c r="A6" s="133" t="s">
        <v>467</v>
      </c>
      <c r="B6" s="133">
        <v>100</v>
      </c>
      <c r="C6" s="32">
        <v>45681</v>
      </c>
      <c r="E6" s="133" t="s">
        <v>467</v>
      </c>
      <c r="F6" s="133">
        <v>60</v>
      </c>
      <c r="G6" s="32">
        <v>45681</v>
      </c>
      <c r="K6" s="215" t="s">
        <v>468</v>
      </c>
      <c r="L6" s="215">
        <f t="shared" si="0"/>
        <v>461</v>
      </c>
    </row>
    <row r="7" spans="1:12" x14ac:dyDescent="0.25">
      <c r="A7" s="133" t="s">
        <v>468</v>
      </c>
      <c r="B7" s="133">
        <v>500</v>
      </c>
      <c r="C7" s="32">
        <v>45682</v>
      </c>
      <c r="E7" s="133" t="s">
        <v>468</v>
      </c>
      <c r="F7" s="133">
        <v>89</v>
      </c>
      <c r="G7" s="32">
        <v>45682</v>
      </c>
      <c r="K7" s="215" t="s">
        <v>469</v>
      </c>
      <c r="L7" s="215">
        <f t="shared" si="0"/>
        <v>220</v>
      </c>
    </row>
    <row r="8" spans="1:12" x14ac:dyDescent="0.25">
      <c r="A8" s="133" t="s">
        <v>227</v>
      </c>
      <c r="B8" s="133">
        <v>200</v>
      </c>
      <c r="C8" s="32">
        <v>45683</v>
      </c>
      <c r="E8" s="133" t="s">
        <v>227</v>
      </c>
      <c r="F8" s="133">
        <v>20</v>
      </c>
      <c r="G8" s="32">
        <v>45683</v>
      </c>
      <c r="K8"/>
    </row>
    <row r="9" spans="1:12" x14ac:dyDescent="0.25">
      <c r="A9" s="133" t="s">
        <v>466</v>
      </c>
      <c r="B9" s="133">
        <v>54</v>
      </c>
      <c r="C9" s="32">
        <v>45684</v>
      </c>
      <c r="E9" s="133" t="s">
        <v>466</v>
      </c>
      <c r="F9" s="133">
        <v>10</v>
      </c>
      <c r="G9" s="32">
        <v>45684</v>
      </c>
      <c r="K9"/>
    </row>
    <row r="10" spans="1:12" x14ac:dyDescent="0.25">
      <c r="A10" s="133" t="s">
        <v>469</v>
      </c>
      <c r="B10" s="133">
        <v>50</v>
      </c>
      <c r="C10" s="32">
        <v>45685</v>
      </c>
      <c r="E10" s="133" t="s">
        <v>467</v>
      </c>
      <c r="F10" s="133">
        <v>30</v>
      </c>
      <c r="G10" s="32">
        <v>45685</v>
      </c>
      <c r="K10"/>
    </row>
    <row r="11" spans="1:12" x14ac:dyDescent="0.25">
      <c r="A11" s="133" t="s">
        <v>468</v>
      </c>
      <c r="B11" s="133">
        <v>70</v>
      </c>
      <c r="C11" s="32">
        <v>45686</v>
      </c>
      <c r="E11" s="133" t="s">
        <v>468</v>
      </c>
      <c r="F11" s="133">
        <v>20</v>
      </c>
      <c r="G11" s="32">
        <v>45686</v>
      </c>
      <c r="K11"/>
    </row>
    <row r="12" spans="1:12" x14ac:dyDescent="0.25">
      <c r="A12" s="133" t="s">
        <v>227</v>
      </c>
      <c r="B12" s="133">
        <v>40</v>
      </c>
      <c r="C12" s="32">
        <v>45687</v>
      </c>
    </row>
  </sheetData>
  <mergeCells count="2">
    <mergeCell ref="A2:C2"/>
    <mergeCell ref="E2:G2"/>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D8ECD-4BDB-4191-8D5C-753C03A20786}">
  <sheetPr codeName="Sheet43"/>
  <dimension ref="A2:P47"/>
  <sheetViews>
    <sheetView workbookViewId="0">
      <selection activeCell="C8" sqref="C8"/>
    </sheetView>
  </sheetViews>
  <sheetFormatPr defaultRowHeight="15" x14ac:dyDescent="0.25"/>
  <cols>
    <col min="1" max="1" width="22.28515625" style="133" customWidth="1"/>
    <col min="2" max="2" width="14" style="133" customWidth="1"/>
    <col min="3" max="3" width="22" style="133" customWidth="1"/>
    <col min="4" max="4" width="18.5703125" style="133" customWidth="1"/>
    <col min="5" max="5" width="12" style="133" bestFit="1" customWidth="1"/>
    <col min="6" max="6" width="12.28515625" style="133" customWidth="1"/>
    <col min="7" max="7" width="17.42578125" style="133" customWidth="1"/>
    <col min="8" max="8" width="14.140625" style="133" customWidth="1"/>
    <col min="9" max="9" width="17.7109375" style="133" customWidth="1"/>
    <col min="10" max="10" width="11.5703125" style="133" customWidth="1"/>
    <col min="11" max="12" width="9.140625" style="133"/>
    <col min="13" max="13" width="22.42578125" style="133" customWidth="1"/>
    <col min="14" max="14" width="11.7109375" style="133" customWidth="1"/>
    <col min="15" max="15" width="15.5703125" style="133" customWidth="1"/>
    <col min="16" max="16384" width="9.140625" style="133"/>
  </cols>
  <sheetData>
    <row r="2" spans="1:16" x14ac:dyDescent="0.25">
      <c r="A2" s="140" t="s">
        <v>471</v>
      </c>
      <c r="N2" s="140" t="s">
        <v>472</v>
      </c>
    </row>
    <row r="4" spans="1:16" x14ac:dyDescent="0.25">
      <c r="A4" s="40" t="s">
        <v>39</v>
      </c>
      <c r="B4" s="40" t="s">
        <v>122</v>
      </c>
      <c r="C4" s="40" t="s">
        <v>95</v>
      </c>
      <c r="D4" s="40" t="s">
        <v>123</v>
      </c>
      <c r="M4" s="134" t="s">
        <v>39</v>
      </c>
      <c r="N4" s="134" t="s">
        <v>95</v>
      </c>
      <c r="O4" s="134" t="s">
        <v>123</v>
      </c>
      <c r="P4" s="134" t="s">
        <v>473</v>
      </c>
    </row>
    <row r="5" spans="1:16" x14ac:dyDescent="0.25">
      <c r="A5" s="16" t="s">
        <v>28</v>
      </c>
      <c r="B5" s="141">
        <v>45679</v>
      </c>
      <c r="C5" s="16" t="s">
        <v>47</v>
      </c>
      <c r="D5" s="16" t="s">
        <v>55</v>
      </c>
      <c r="M5" s="16" t="s">
        <v>40</v>
      </c>
      <c r="N5" s="16" t="s">
        <v>50</v>
      </c>
      <c r="O5" s="16" t="s">
        <v>55</v>
      </c>
      <c r="P5" s="16">
        <v>1664</v>
      </c>
    </row>
    <row r="6" spans="1:16" x14ac:dyDescent="0.25">
      <c r="A6" s="16" t="s">
        <v>470</v>
      </c>
      <c r="B6" s="141">
        <v>45680</v>
      </c>
      <c r="C6" s="16" t="s">
        <v>50</v>
      </c>
      <c r="D6" s="16" t="s">
        <v>62</v>
      </c>
      <c r="M6" s="16" t="s">
        <v>43</v>
      </c>
      <c r="N6" s="16" t="s">
        <v>54</v>
      </c>
      <c r="O6" s="16" t="s">
        <v>62</v>
      </c>
      <c r="P6" s="16">
        <v>2215</v>
      </c>
    </row>
    <row r="7" spans="1:16" x14ac:dyDescent="0.25">
      <c r="A7" s="16" t="s">
        <v>28</v>
      </c>
      <c r="B7" s="141">
        <v>45681</v>
      </c>
      <c r="C7" s="16" t="s">
        <v>54</v>
      </c>
      <c r="D7" s="16" t="s">
        <v>63</v>
      </c>
      <c r="M7" s="16" t="s">
        <v>40</v>
      </c>
      <c r="N7" s="16" t="s">
        <v>49</v>
      </c>
      <c r="O7" s="16" t="s">
        <v>63</v>
      </c>
      <c r="P7" s="16">
        <v>5527</v>
      </c>
    </row>
    <row r="8" spans="1:16" x14ac:dyDescent="0.25">
      <c r="A8" s="211" t="s">
        <v>40</v>
      </c>
      <c r="B8" s="212">
        <v>45682</v>
      </c>
      <c r="C8" s="211" t="s">
        <v>49</v>
      </c>
      <c r="D8" s="211" t="s">
        <v>61</v>
      </c>
      <c r="M8" s="16" t="s">
        <v>44</v>
      </c>
      <c r="N8" s="16" t="s">
        <v>48</v>
      </c>
      <c r="O8" s="16" t="s">
        <v>61</v>
      </c>
      <c r="P8" s="16">
        <v>4383</v>
      </c>
    </row>
    <row r="9" spans="1:16" x14ac:dyDescent="0.25">
      <c r="A9" s="211" t="s">
        <v>40</v>
      </c>
      <c r="B9" s="212">
        <v>45683</v>
      </c>
      <c r="C9" s="211" t="s">
        <v>48</v>
      </c>
      <c r="D9" s="211" t="s">
        <v>56</v>
      </c>
      <c r="M9" s="16" t="s">
        <v>40</v>
      </c>
      <c r="N9" s="16" t="s">
        <v>53</v>
      </c>
      <c r="O9" s="16" t="s">
        <v>56</v>
      </c>
      <c r="P9" s="16">
        <v>7925</v>
      </c>
    </row>
    <row r="10" spans="1:16" x14ac:dyDescent="0.25">
      <c r="A10" s="211" t="s">
        <v>40</v>
      </c>
      <c r="B10" s="212">
        <v>45684</v>
      </c>
      <c r="C10" s="211" t="s">
        <v>53</v>
      </c>
      <c r="D10" s="211" t="s">
        <v>59</v>
      </c>
      <c r="M10" s="16" t="s">
        <v>41</v>
      </c>
      <c r="N10" s="16" t="s">
        <v>47</v>
      </c>
      <c r="O10" s="16" t="s">
        <v>59</v>
      </c>
      <c r="P10" s="16">
        <v>1910</v>
      </c>
    </row>
    <row r="11" spans="1:16" x14ac:dyDescent="0.25">
      <c r="A11" s="211" t="s">
        <v>40</v>
      </c>
      <c r="B11" s="212">
        <v>45685</v>
      </c>
      <c r="C11" s="211" t="s">
        <v>47</v>
      </c>
      <c r="D11" s="211" t="s">
        <v>57</v>
      </c>
      <c r="M11" s="16" t="s">
        <v>28</v>
      </c>
      <c r="N11" s="16" t="s">
        <v>48</v>
      </c>
      <c r="O11" s="16" t="s">
        <v>57</v>
      </c>
      <c r="P11" s="16">
        <v>6901</v>
      </c>
    </row>
    <row r="12" spans="1:16" x14ac:dyDescent="0.25">
      <c r="A12" s="211" t="s">
        <v>40</v>
      </c>
      <c r="B12" s="212">
        <v>45686</v>
      </c>
      <c r="C12" s="211" t="s">
        <v>48</v>
      </c>
      <c r="D12" s="211" t="s">
        <v>58</v>
      </c>
      <c r="M12" s="16" t="s">
        <v>40</v>
      </c>
      <c r="N12" s="16" t="s">
        <v>49</v>
      </c>
      <c r="O12" s="16" t="s">
        <v>58</v>
      </c>
      <c r="P12" s="16">
        <v>3020</v>
      </c>
    </row>
    <row r="13" spans="1:16" x14ac:dyDescent="0.25">
      <c r="A13" s="211" t="s">
        <v>40</v>
      </c>
      <c r="B13" s="212">
        <v>45687</v>
      </c>
      <c r="C13" s="211" t="s">
        <v>49</v>
      </c>
      <c r="D13" s="211" t="s">
        <v>55</v>
      </c>
      <c r="M13" s="16" t="s">
        <v>44</v>
      </c>
      <c r="N13" s="16" t="s">
        <v>47</v>
      </c>
      <c r="O13" s="16" t="s">
        <v>55</v>
      </c>
      <c r="P13" s="16">
        <v>4414</v>
      </c>
    </row>
    <row r="14" spans="1:16" x14ac:dyDescent="0.25">
      <c r="A14" s="16" t="s">
        <v>28</v>
      </c>
      <c r="B14" s="141">
        <v>45688</v>
      </c>
      <c r="C14" s="16" t="s">
        <v>47</v>
      </c>
      <c r="D14" s="16" t="s">
        <v>56</v>
      </c>
      <c r="M14" s="16" t="s">
        <v>40</v>
      </c>
      <c r="N14" s="16" t="s">
        <v>50</v>
      </c>
      <c r="O14" s="16" t="s">
        <v>56</v>
      </c>
      <c r="P14" s="16">
        <v>8877</v>
      </c>
    </row>
    <row r="15" spans="1:16" x14ac:dyDescent="0.25">
      <c r="A15" s="211" t="s">
        <v>40</v>
      </c>
      <c r="B15" s="212">
        <v>45689</v>
      </c>
      <c r="C15" s="211" t="s">
        <v>50</v>
      </c>
      <c r="D15" s="211" t="s">
        <v>57</v>
      </c>
      <c r="M15" s="16" t="s">
        <v>31</v>
      </c>
      <c r="N15" s="16" t="s">
        <v>51</v>
      </c>
      <c r="O15" s="16" t="s">
        <v>57</v>
      </c>
      <c r="P15" s="16">
        <v>4686</v>
      </c>
    </row>
    <row r="16" spans="1:16" x14ac:dyDescent="0.25">
      <c r="A16" s="211" t="s">
        <v>40</v>
      </c>
      <c r="B16" s="212">
        <v>45690</v>
      </c>
      <c r="C16" s="211" t="s">
        <v>51</v>
      </c>
      <c r="D16" s="211" t="s">
        <v>58</v>
      </c>
      <c r="M16" s="16" t="s">
        <v>29</v>
      </c>
      <c r="N16" s="16" t="s">
        <v>52</v>
      </c>
      <c r="O16" s="16" t="s">
        <v>58</v>
      </c>
      <c r="P16" s="16">
        <v>8867</v>
      </c>
    </row>
    <row r="17" spans="1:16" x14ac:dyDescent="0.25">
      <c r="A17" s="16" t="s">
        <v>34</v>
      </c>
      <c r="B17" s="141">
        <v>45691</v>
      </c>
      <c r="C17" s="16" t="s">
        <v>52</v>
      </c>
      <c r="D17" s="16" t="s">
        <v>59</v>
      </c>
      <c r="M17" s="16" t="s">
        <v>43</v>
      </c>
      <c r="N17" s="16" t="s">
        <v>53</v>
      </c>
      <c r="O17" s="16" t="s">
        <v>59</v>
      </c>
      <c r="P17" s="16">
        <v>3559</v>
      </c>
    </row>
    <row r="18" spans="1:16" x14ac:dyDescent="0.25">
      <c r="A18" s="16" t="s">
        <v>30</v>
      </c>
      <c r="B18" s="141">
        <v>45692</v>
      </c>
      <c r="C18" s="16" t="s">
        <v>53</v>
      </c>
      <c r="D18" s="16" t="s">
        <v>60</v>
      </c>
      <c r="M18" s="16" t="s">
        <v>40</v>
      </c>
      <c r="N18" s="16" t="s">
        <v>48</v>
      </c>
      <c r="O18" s="16" t="s">
        <v>60</v>
      </c>
      <c r="P18" s="16">
        <v>7739</v>
      </c>
    </row>
    <row r="19" spans="1:16" x14ac:dyDescent="0.25">
      <c r="A19" s="16" t="s">
        <v>28</v>
      </c>
      <c r="B19" s="141">
        <v>45693</v>
      </c>
      <c r="C19" s="16" t="s">
        <v>47</v>
      </c>
      <c r="D19" s="16" t="s">
        <v>56</v>
      </c>
      <c r="M19" s="16" t="s">
        <v>28</v>
      </c>
      <c r="N19" s="16" t="s">
        <v>47</v>
      </c>
      <c r="O19" s="16" t="s">
        <v>61</v>
      </c>
      <c r="P19" s="16">
        <v>6209</v>
      </c>
    </row>
    <row r="20" spans="1:16" x14ac:dyDescent="0.25">
      <c r="A20" s="16" t="s">
        <v>29</v>
      </c>
      <c r="B20" s="141">
        <v>45694</v>
      </c>
      <c r="C20" s="16" t="s">
        <v>48</v>
      </c>
      <c r="D20" s="16" t="s">
        <v>55</v>
      </c>
      <c r="M20" s="16" t="s">
        <v>40</v>
      </c>
      <c r="N20" s="16" t="s">
        <v>49</v>
      </c>
      <c r="O20" s="16" t="s">
        <v>62</v>
      </c>
      <c r="P20" s="16">
        <v>8206</v>
      </c>
    </row>
    <row r="21" spans="1:16" x14ac:dyDescent="0.25">
      <c r="A21" s="16" t="s">
        <v>32</v>
      </c>
      <c r="B21" s="141">
        <v>45695</v>
      </c>
      <c r="C21" s="16" t="s">
        <v>49</v>
      </c>
      <c r="D21" s="16" t="s">
        <v>62</v>
      </c>
      <c r="M21" s="16" t="s">
        <v>40</v>
      </c>
      <c r="N21" s="16" t="s">
        <v>47</v>
      </c>
      <c r="O21" s="16" t="s">
        <v>63</v>
      </c>
      <c r="P21" s="16">
        <v>1305</v>
      </c>
    </row>
    <row r="22" spans="1:16" x14ac:dyDescent="0.25">
      <c r="A22" s="16" t="s">
        <v>41</v>
      </c>
      <c r="B22" s="141">
        <v>45696</v>
      </c>
      <c r="C22" s="16" t="s">
        <v>47</v>
      </c>
      <c r="D22" s="16" t="s">
        <v>63</v>
      </c>
      <c r="M22" s="16" t="s">
        <v>41</v>
      </c>
      <c r="N22" s="16" t="s">
        <v>48</v>
      </c>
      <c r="O22" s="16" t="s">
        <v>55</v>
      </c>
      <c r="P22" s="16">
        <v>8067</v>
      </c>
    </row>
    <row r="23" spans="1:16" x14ac:dyDescent="0.25">
      <c r="A23" s="16" t="s">
        <v>42</v>
      </c>
      <c r="B23" s="141">
        <v>45697</v>
      </c>
      <c r="C23" s="16" t="s">
        <v>50</v>
      </c>
      <c r="D23" s="16" t="s">
        <v>61</v>
      </c>
    </row>
    <row r="26" spans="1:16" x14ac:dyDescent="0.25">
      <c r="H26" s="140" t="s">
        <v>474</v>
      </c>
    </row>
    <row r="28" spans="1:16" x14ac:dyDescent="0.25">
      <c r="G28" s="40" t="s">
        <v>475</v>
      </c>
      <c r="H28" s="40" t="s">
        <v>95</v>
      </c>
      <c r="I28" s="40" t="s">
        <v>123</v>
      </c>
      <c r="J28" s="40" t="s">
        <v>121</v>
      </c>
    </row>
    <row r="29" spans="1:16" x14ac:dyDescent="0.25">
      <c r="G29" s="16" t="s">
        <v>28</v>
      </c>
      <c r="H29" s="16" t="s">
        <v>47</v>
      </c>
      <c r="I29" s="16" t="s">
        <v>55</v>
      </c>
      <c r="J29" s="16">
        <v>4381</v>
      </c>
    </row>
    <row r="30" spans="1:16" x14ac:dyDescent="0.25">
      <c r="G30" s="16" t="s">
        <v>29</v>
      </c>
      <c r="H30" s="16" t="s">
        <v>50</v>
      </c>
      <c r="I30" s="16" t="s">
        <v>62</v>
      </c>
      <c r="J30" s="16">
        <v>2294</v>
      </c>
    </row>
    <row r="31" spans="1:16" x14ac:dyDescent="0.25">
      <c r="G31" s="16" t="s">
        <v>40</v>
      </c>
      <c r="H31" s="16" t="s">
        <v>54</v>
      </c>
      <c r="I31" s="16" t="s">
        <v>63</v>
      </c>
      <c r="J31" s="16">
        <v>3924</v>
      </c>
    </row>
    <row r="32" spans="1:16" x14ac:dyDescent="0.25">
      <c r="G32" s="16" t="s">
        <v>40</v>
      </c>
      <c r="H32" s="16" t="s">
        <v>49</v>
      </c>
      <c r="I32" s="16" t="s">
        <v>61</v>
      </c>
      <c r="J32" s="16">
        <v>3395</v>
      </c>
    </row>
    <row r="33" spans="7:10" x14ac:dyDescent="0.25">
      <c r="G33" s="16" t="s">
        <v>31</v>
      </c>
      <c r="H33" s="16" t="s">
        <v>48</v>
      </c>
      <c r="I33" s="16" t="s">
        <v>56</v>
      </c>
      <c r="J33" s="16">
        <v>3813</v>
      </c>
    </row>
    <row r="34" spans="7:10" x14ac:dyDescent="0.25">
      <c r="G34" s="16" t="s">
        <v>40</v>
      </c>
      <c r="H34" s="16" t="s">
        <v>53</v>
      </c>
      <c r="I34" s="16" t="s">
        <v>59</v>
      </c>
      <c r="J34" s="16">
        <v>3732</v>
      </c>
    </row>
    <row r="35" spans="7:10" x14ac:dyDescent="0.25">
      <c r="G35" s="16" t="s">
        <v>43</v>
      </c>
      <c r="H35" s="16" t="s">
        <v>47</v>
      </c>
      <c r="I35" s="16" t="s">
        <v>57</v>
      </c>
      <c r="J35" s="16">
        <v>3178</v>
      </c>
    </row>
    <row r="36" spans="7:10" x14ac:dyDescent="0.25">
      <c r="G36" s="16" t="s">
        <v>30</v>
      </c>
      <c r="H36" s="16" t="s">
        <v>48</v>
      </c>
      <c r="I36" s="16" t="s">
        <v>58</v>
      </c>
      <c r="J36" s="16">
        <v>4255</v>
      </c>
    </row>
    <row r="37" spans="7:10" x14ac:dyDescent="0.25">
      <c r="G37" s="16" t="s">
        <v>28</v>
      </c>
      <c r="H37" s="16" t="s">
        <v>49</v>
      </c>
      <c r="I37" s="16" t="s">
        <v>55</v>
      </c>
      <c r="J37" s="16">
        <v>2147</v>
      </c>
    </row>
    <row r="38" spans="7:10" x14ac:dyDescent="0.25">
      <c r="G38" s="16" t="s">
        <v>40</v>
      </c>
      <c r="H38" s="16" t="s">
        <v>47</v>
      </c>
      <c r="I38" s="16" t="s">
        <v>56</v>
      </c>
      <c r="J38" s="16">
        <v>3627</v>
      </c>
    </row>
    <row r="39" spans="7:10" x14ac:dyDescent="0.25">
      <c r="G39" s="16" t="s">
        <v>32</v>
      </c>
      <c r="H39" s="16" t="s">
        <v>50</v>
      </c>
      <c r="I39" s="16" t="s">
        <v>57</v>
      </c>
      <c r="J39" s="16">
        <v>3060</v>
      </c>
    </row>
    <row r="40" spans="7:10" x14ac:dyDescent="0.25">
      <c r="G40" s="16" t="s">
        <v>40</v>
      </c>
      <c r="H40" s="16" t="s">
        <v>51</v>
      </c>
      <c r="I40" s="16" t="s">
        <v>58</v>
      </c>
      <c r="J40" s="16">
        <v>4896</v>
      </c>
    </row>
    <row r="41" spans="7:10" x14ac:dyDescent="0.25">
      <c r="G41" s="16" t="s">
        <v>42</v>
      </c>
      <c r="H41" s="16" t="s">
        <v>52</v>
      </c>
      <c r="I41" s="16" t="s">
        <v>59</v>
      </c>
      <c r="J41" s="16">
        <v>3797</v>
      </c>
    </row>
    <row r="42" spans="7:10" x14ac:dyDescent="0.25">
      <c r="G42" s="16" t="s">
        <v>36</v>
      </c>
      <c r="H42" s="16" t="s">
        <v>53</v>
      </c>
      <c r="I42" s="16" t="s">
        <v>60</v>
      </c>
      <c r="J42" s="16">
        <v>2918</v>
      </c>
    </row>
    <row r="43" spans="7:10" x14ac:dyDescent="0.25">
      <c r="G43" s="16" t="s">
        <v>31</v>
      </c>
      <c r="H43" s="16" t="s">
        <v>48</v>
      </c>
      <c r="I43" s="16" t="s">
        <v>61</v>
      </c>
      <c r="J43" s="16">
        <v>4533</v>
      </c>
    </row>
    <row r="44" spans="7:10" x14ac:dyDescent="0.25">
      <c r="G44" s="16" t="s">
        <v>40</v>
      </c>
      <c r="H44" s="16" t="s">
        <v>47</v>
      </c>
      <c r="I44" s="16" t="s">
        <v>62</v>
      </c>
      <c r="J44" s="16">
        <v>3467</v>
      </c>
    </row>
    <row r="45" spans="7:10" x14ac:dyDescent="0.25">
      <c r="G45" s="16" t="s">
        <v>40</v>
      </c>
      <c r="H45" s="16" t="s">
        <v>49</v>
      </c>
      <c r="I45" s="16" t="s">
        <v>63</v>
      </c>
      <c r="J45" s="16">
        <v>3724</v>
      </c>
    </row>
    <row r="46" spans="7:10" x14ac:dyDescent="0.25">
      <c r="G46" s="16" t="s">
        <v>43</v>
      </c>
      <c r="H46" s="16" t="s">
        <v>47</v>
      </c>
      <c r="I46" s="16" t="s">
        <v>55</v>
      </c>
      <c r="J46" s="16">
        <v>5206</v>
      </c>
    </row>
    <row r="47" spans="7:10" x14ac:dyDescent="0.25">
      <c r="G47" s="16" t="s">
        <v>40</v>
      </c>
      <c r="H47" s="16" t="s">
        <v>48</v>
      </c>
      <c r="I47" s="16" t="s">
        <v>56</v>
      </c>
      <c r="J47" s="16">
        <v>2557</v>
      </c>
    </row>
  </sheetData>
  <phoneticPr fontId="2" type="noConversion"/>
  <conditionalFormatting sqref="A5:D23">
    <cfRule type="expression" dxfId="0" priority="1">
      <formula>$A5="gaurav"</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48554-A730-41C1-A2A9-AAFE5020781C}">
  <sheetPr codeName="Sheet44"/>
  <dimension ref="A1:F50"/>
  <sheetViews>
    <sheetView workbookViewId="0">
      <selection activeCell="D9" sqref="D9"/>
    </sheetView>
  </sheetViews>
  <sheetFormatPr defaultRowHeight="15" x14ac:dyDescent="0.25"/>
  <cols>
    <col min="1" max="1" width="8.5703125" customWidth="1"/>
    <col min="2" max="2" width="20" customWidth="1"/>
    <col min="3" max="3" width="9.85546875" customWidth="1"/>
    <col min="4" max="4" width="14" customWidth="1"/>
    <col min="5" max="5" width="13.42578125" customWidth="1"/>
    <col min="6" max="6" width="21.5703125" customWidth="1"/>
  </cols>
  <sheetData>
    <row r="1" spans="1:6" x14ac:dyDescent="0.25">
      <c r="A1" s="167"/>
      <c r="B1" s="168"/>
      <c r="C1" s="168"/>
      <c r="D1" s="168"/>
      <c r="E1" s="168"/>
      <c r="F1" s="169"/>
    </row>
    <row r="2" spans="1:6" ht="26.25" x14ac:dyDescent="0.4">
      <c r="A2" s="285" t="s">
        <v>476</v>
      </c>
      <c r="B2" s="286"/>
      <c r="C2" s="286"/>
      <c r="D2" s="286" t="s">
        <v>478</v>
      </c>
      <c r="E2" s="286"/>
      <c r="F2" s="170"/>
    </row>
    <row r="3" spans="1:6" ht="26.25" x14ac:dyDescent="0.4">
      <c r="A3" s="287" t="s">
        <v>477</v>
      </c>
      <c r="B3" s="288"/>
      <c r="C3" s="288"/>
      <c r="D3" s="286" t="s">
        <v>479</v>
      </c>
      <c r="E3" s="286"/>
      <c r="F3" s="171"/>
    </row>
    <row r="4" spans="1:6" x14ac:dyDescent="0.25">
      <c r="A4" s="289" t="s">
        <v>480</v>
      </c>
      <c r="B4" s="290"/>
      <c r="C4" s="147"/>
      <c r="D4" s="150" t="s">
        <v>491</v>
      </c>
      <c r="E4" s="263" t="s">
        <v>122</v>
      </c>
      <c r="F4" s="264"/>
    </row>
    <row r="5" spans="1:6" x14ac:dyDescent="0.25">
      <c r="A5" s="257" t="s">
        <v>481</v>
      </c>
      <c r="B5" s="258"/>
      <c r="C5" s="147"/>
      <c r="D5" s="165">
        <v>259425</v>
      </c>
      <c r="E5" s="261">
        <v>45682</v>
      </c>
      <c r="F5" s="262"/>
    </row>
    <row r="6" spans="1:6" x14ac:dyDescent="0.25">
      <c r="A6" s="257" t="s">
        <v>482</v>
      </c>
      <c r="B6" s="258"/>
      <c r="C6" s="147"/>
      <c r="D6" s="150" t="s">
        <v>492</v>
      </c>
      <c r="E6" s="263" t="s">
        <v>493</v>
      </c>
      <c r="F6" s="264"/>
    </row>
    <row r="7" spans="1:6" x14ac:dyDescent="0.25">
      <c r="A7" s="257" t="s">
        <v>483</v>
      </c>
      <c r="B7" s="258"/>
      <c r="C7" s="147"/>
      <c r="D7" s="166" t="s">
        <v>494</v>
      </c>
      <c r="E7" s="261">
        <v>44320</v>
      </c>
      <c r="F7" s="262"/>
    </row>
    <row r="8" spans="1:6" x14ac:dyDescent="0.25">
      <c r="A8" s="257" t="s">
        <v>490</v>
      </c>
      <c r="B8" s="258"/>
      <c r="C8" s="147"/>
      <c r="D8" s="147"/>
      <c r="E8" s="147"/>
      <c r="F8" s="170"/>
    </row>
    <row r="9" spans="1:6" x14ac:dyDescent="0.25">
      <c r="A9" s="172"/>
      <c r="B9" s="147"/>
      <c r="C9" s="147"/>
      <c r="D9" s="147"/>
      <c r="E9" s="147"/>
      <c r="F9" s="170"/>
    </row>
    <row r="10" spans="1:6" x14ac:dyDescent="0.25">
      <c r="A10" s="273" t="s">
        <v>484</v>
      </c>
      <c r="B10" s="274"/>
      <c r="C10" s="275"/>
      <c r="D10" s="147"/>
      <c r="E10" s="149" t="s">
        <v>495</v>
      </c>
      <c r="F10" s="173"/>
    </row>
    <row r="11" spans="1:6" x14ac:dyDescent="0.25">
      <c r="A11" s="280" t="s">
        <v>485</v>
      </c>
      <c r="B11" s="281"/>
      <c r="C11" s="282"/>
      <c r="D11" s="147"/>
      <c r="E11" s="255" t="s">
        <v>485</v>
      </c>
      <c r="F11" s="256"/>
    </row>
    <row r="12" spans="1:6" x14ac:dyDescent="0.25">
      <c r="A12" s="249" t="s">
        <v>486</v>
      </c>
      <c r="B12" s="250"/>
      <c r="C12" s="251"/>
      <c r="D12" s="147"/>
      <c r="E12" s="283" t="s">
        <v>486</v>
      </c>
      <c r="F12" s="284"/>
    </row>
    <row r="13" spans="1:6" x14ac:dyDescent="0.25">
      <c r="A13" s="249" t="s">
        <v>487</v>
      </c>
      <c r="B13" s="250"/>
      <c r="C13" s="251"/>
      <c r="D13" s="147"/>
      <c r="E13" s="283" t="s">
        <v>487</v>
      </c>
      <c r="F13" s="284"/>
    </row>
    <row r="14" spans="1:6" x14ac:dyDescent="0.25">
      <c r="A14" s="249" t="s">
        <v>488</v>
      </c>
      <c r="B14" s="250"/>
      <c r="C14" s="251"/>
      <c r="D14" s="147"/>
      <c r="E14" s="283" t="s">
        <v>488</v>
      </c>
      <c r="F14" s="284"/>
    </row>
    <row r="15" spans="1:6" x14ac:dyDescent="0.25">
      <c r="A15" s="252" t="s">
        <v>489</v>
      </c>
      <c r="B15" s="253"/>
      <c r="C15" s="254"/>
      <c r="D15" s="147"/>
      <c r="E15" s="259" t="s">
        <v>489</v>
      </c>
      <c r="F15" s="260"/>
    </row>
    <row r="16" spans="1:6" x14ac:dyDescent="0.25">
      <c r="A16" s="172"/>
      <c r="B16" s="147"/>
      <c r="C16" s="147"/>
      <c r="D16" s="147"/>
      <c r="E16" s="147"/>
      <c r="F16" s="170"/>
    </row>
    <row r="17" spans="1:6" x14ac:dyDescent="0.25">
      <c r="A17" s="174" t="s">
        <v>496</v>
      </c>
      <c r="B17" s="116" t="s">
        <v>497</v>
      </c>
      <c r="C17" s="116" t="s">
        <v>498</v>
      </c>
      <c r="D17" s="116" t="s">
        <v>142</v>
      </c>
      <c r="E17" s="156" t="s">
        <v>499</v>
      </c>
      <c r="F17" s="175" t="s">
        <v>144</v>
      </c>
    </row>
    <row r="18" spans="1:6" x14ac:dyDescent="0.25">
      <c r="A18" s="176">
        <v>1</v>
      </c>
      <c r="B18" s="154" t="s">
        <v>500</v>
      </c>
      <c r="C18" s="154">
        <v>2516</v>
      </c>
      <c r="D18" s="162">
        <v>15</v>
      </c>
      <c r="E18" s="151" t="s">
        <v>505</v>
      </c>
      <c r="F18" s="177" t="s">
        <v>510</v>
      </c>
    </row>
    <row r="19" spans="1:6" x14ac:dyDescent="0.25">
      <c r="A19" s="176">
        <v>2</v>
      </c>
      <c r="B19" s="152" t="s">
        <v>501</v>
      </c>
      <c r="C19" s="152">
        <v>2541</v>
      </c>
      <c r="D19" s="163">
        <v>26</v>
      </c>
      <c r="E19" s="151" t="s">
        <v>506</v>
      </c>
      <c r="F19" s="178" t="s">
        <v>511</v>
      </c>
    </row>
    <row r="20" spans="1:6" x14ac:dyDescent="0.25">
      <c r="A20" s="176">
        <v>3</v>
      </c>
      <c r="B20" s="152" t="s">
        <v>502</v>
      </c>
      <c r="C20" s="152">
        <v>4944</v>
      </c>
      <c r="D20" s="163">
        <v>54</v>
      </c>
      <c r="E20" s="151" t="s">
        <v>507</v>
      </c>
      <c r="F20" s="178" t="s">
        <v>512</v>
      </c>
    </row>
    <row r="21" spans="1:6" x14ac:dyDescent="0.25">
      <c r="A21" s="176">
        <v>4</v>
      </c>
      <c r="B21" s="152" t="s">
        <v>503</v>
      </c>
      <c r="C21" s="155">
        <v>2546</v>
      </c>
      <c r="D21" s="164">
        <v>58</v>
      </c>
      <c r="E21" s="151" t="s">
        <v>508</v>
      </c>
      <c r="F21" s="178" t="s">
        <v>513</v>
      </c>
    </row>
    <row r="22" spans="1:6" x14ac:dyDescent="0.25">
      <c r="A22" s="176">
        <v>5</v>
      </c>
      <c r="B22" s="152" t="s">
        <v>504</v>
      </c>
      <c r="C22" s="155">
        <v>8151</v>
      </c>
      <c r="D22" s="164">
        <v>25</v>
      </c>
      <c r="E22" s="151" t="s">
        <v>509</v>
      </c>
      <c r="F22" s="178" t="s">
        <v>514</v>
      </c>
    </row>
    <row r="23" spans="1:6" x14ac:dyDescent="0.25">
      <c r="A23" s="179"/>
      <c r="B23" s="153"/>
      <c r="C23" s="153"/>
      <c r="D23" s="153"/>
      <c r="E23" s="148"/>
      <c r="F23" s="180"/>
    </row>
    <row r="24" spans="1:6" x14ac:dyDescent="0.25">
      <c r="A24" s="179"/>
      <c r="B24" s="153"/>
      <c r="C24" s="153"/>
      <c r="D24" s="153"/>
      <c r="E24" s="148"/>
      <c r="F24" s="180"/>
    </row>
    <row r="25" spans="1:6" x14ac:dyDescent="0.25">
      <c r="A25" s="179"/>
      <c r="B25" s="153"/>
      <c r="C25" s="153"/>
      <c r="D25" s="153"/>
      <c r="E25" s="148"/>
      <c r="F25" s="180"/>
    </row>
    <row r="26" spans="1:6" x14ac:dyDescent="0.25">
      <c r="A26" s="179"/>
      <c r="B26" s="153"/>
      <c r="C26" s="153"/>
      <c r="D26" s="153"/>
      <c r="E26" s="148"/>
      <c r="F26" s="180"/>
    </row>
    <row r="27" spans="1:6" x14ac:dyDescent="0.25">
      <c r="A27" s="179"/>
      <c r="B27" s="153"/>
      <c r="C27" s="153"/>
      <c r="D27" s="153"/>
      <c r="E27" s="148"/>
      <c r="F27" s="180"/>
    </row>
    <row r="28" spans="1:6" x14ac:dyDescent="0.25">
      <c r="A28" s="179"/>
      <c r="B28" s="153"/>
      <c r="C28" s="153"/>
      <c r="D28" s="153"/>
      <c r="E28" s="148"/>
      <c r="F28" s="180"/>
    </row>
    <row r="29" spans="1:6" x14ac:dyDescent="0.25">
      <c r="A29" s="179"/>
      <c r="B29" s="153"/>
      <c r="C29" s="153"/>
      <c r="D29" s="153"/>
      <c r="E29" s="148"/>
      <c r="F29" s="180"/>
    </row>
    <row r="30" spans="1:6" x14ac:dyDescent="0.25">
      <c r="A30" s="179"/>
      <c r="B30" s="153"/>
      <c r="C30" s="153"/>
      <c r="D30" s="153"/>
      <c r="E30" s="148"/>
      <c r="F30" s="180"/>
    </row>
    <row r="31" spans="1:6" x14ac:dyDescent="0.25">
      <c r="A31" s="179"/>
      <c r="B31" s="153"/>
      <c r="C31" s="153"/>
      <c r="D31" s="153"/>
      <c r="E31" s="148"/>
      <c r="F31" s="180"/>
    </row>
    <row r="32" spans="1:6" ht="15.75" thickBot="1" x14ac:dyDescent="0.3">
      <c r="A32" s="179"/>
      <c r="B32" s="153"/>
      <c r="C32" s="153"/>
      <c r="D32" s="153"/>
      <c r="E32" s="148"/>
      <c r="F32" s="180"/>
    </row>
    <row r="33" spans="1:6" ht="15.75" thickBot="1" x14ac:dyDescent="0.3">
      <c r="A33" s="157" t="s">
        <v>23</v>
      </c>
      <c r="B33" s="158"/>
      <c r="C33" s="158"/>
      <c r="D33" s="158"/>
      <c r="E33" s="158"/>
      <c r="F33" s="159" t="s">
        <v>515</v>
      </c>
    </row>
    <row r="34" spans="1:6" x14ac:dyDescent="0.25">
      <c r="A34" s="172"/>
      <c r="B34" s="147"/>
      <c r="C34" s="147"/>
      <c r="D34" s="271" t="s">
        <v>528</v>
      </c>
      <c r="E34" s="278"/>
      <c r="F34" s="181" t="s">
        <v>518</v>
      </c>
    </row>
    <row r="35" spans="1:6" x14ac:dyDescent="0.25">
      <c r="A35" s="172"/>
      <c r="B35" s="147"/>
      <c r="C35" s="147"/>
      <c r="D35" s="265" t="s">
        <v>529</v>
      </c>
      <c r="E35" s="279"/>
      <c r="F35" s="182" t="s">
        <v>519</v>
      </c>
    </row>
    <row r="36" spans="1:6" x14ac:dyDescent="0.25">
      <c r="A36" s="172"/>
      <c r="B36" s="147"/>
      <c r="C36" s="147"/>
      <c r="D36" s="265" t="s">
        <v>530</v>
      </c>
      <c r="E36" s="279"/>
      <c r="F36" s="178" t="s">
        <v>520</v>
      </c>
    </row>
    <row r="37" spans="1:6" ht="15.75" thickBot="1" x14ac:dyDescent="0.3">
      <c r="A37" s="183" t="s">
        <v>516</v>
      </c>
      <c r="B37" s="160"/>
      <c r="C37" s="160"/>
      <c r="D37" s="160"/>
      <c r="E37" s="160"/>
      <c r="F37" s="184" t="s">
        <v>517</v>
      </c>
    </row>
    <row r="38" spans="1:6" x14ac:dyDescent="0.25">
      <c r="A38" s="185" t="s">
        <v>521</v>
      </c>
      <c r="B38" s="147"/>
      <c r="C38" s="147"/>
      <c r="D38" s="147"/>
      <c r="E38" s="147"/>
      <c r="F38" s="170"/>
    </row>
    <row r="39" spans="1:6" x14ac:dyDescent="0.25">
      <c r="A39" s="172"/>
      <c r="B39" s="276" t="s">
        <v>522</v>
      </c>
      <c r="C39" s="276"/>
      <c r="D39" s="276"/>
      <c r="E39" s="276"/>
      <c r="F39" s="171"/>
    </row>
    <row r="40" spans="1:6" x14ac:dyDescent="0.25">
      <c r="A40" s="172"/>
      <c r="B40" s="276" t="s">
        <v>523</v>
      </c>
      <c r="C40" s="276"/>
      <c r="D40" s="276"/>
      <c r="E40" s="276"/>
      <c r="F40" s="277"/>
    </row>
    <row r="41" spans="1:6" x14ac:dyDescent="0.25">
      <c r="A41" s="172"/>
      <c r="B41" s="147"/>
      <c r="C41" s="147"/>
      <c r="D41" s="147"/>
      <c r="E41" s="147"/>
      <c r="F41" s="170"/>
    </row>
    <row r="42" spans="1:6" ht="15.75" thickBot="1" x14ac:dyDescent="0.3">
      <c r="A42" s="172"/>
      <c r="B42" s="147"/>
      <c r="C42" s="147"/>
      <c r="D42" s="147"/>
      <c r="E42" s="161"/>
      <c r="F42" s="186"/>
    </row>
    <row r="43" spans="1:6" x14ac:dyDescent="0.25">
      <c r="A43" s="172"/>
      <c r="B43" s="147"/>
      <c r="C43" s="147"/>
      <c r="D43" s="147"/>
      <c r="E43" s="265" t="s">
        <v>524</v>
      </c>
      <c r="F43" s="266"/>
    </row>
    <row r="44" spans="1:6" x14ac:dyDescent="0.25">
      <c r="A44" s="172"/>
      <c r="B44" s="147"/>
      <c r="C44" s="147"/>
      <c r="D44" s="147"/>
      <c r="E44" s="147"/>
      <c r="F44" s="170"/>
    </row>
    <row r="45" spans="1:6" ht="15.75" thickBot="1" x14ac:dyDescent="0.3">
      <c r="A45" s="187"/>
      <c r="B45" s="161"/>
      <c r="C45" s="161"/>
      <c r="D45" s="161"/>
      <c r="E45" s="161"/>
      <c r="F45" s="186"/>
    </row>
    <row r="46" spans="1:6" x14ac:dyDescent="0.25">
      <c r="A46" s="270" t="s">
        <v>525</v>
      </c>
      <c r="B46" s="271"/>
      <c r="C46" s="271"/>
      <c r="D46" s="271"/>
      <c r="E46" s="271"/>
      <c r="F46" s="272"/>
    </row>
    <row r="47" spans="1:6" x14ac:dyDescent="0.25">
      <c r="A47" s="267" t="s">
        <v>527</v>
      </c>
      <c r="B47" s="268"/>
      <c r="C47" s="268"/>
      <c r="D47" s="268"/>
      <c r="E47" s="268"/>
      <c r="F47" s="269"/>
    </row>
    <row r="48" spans="1:6" ht="15.75" thickBot="1" x14ac:dyDescent="0.3">
      <c r="A48" s="188"/>
      <c r="B48" s="189" t="s">
        <v>526</v>
      </c>
      <c r="C48" s="189"/>
      <c r="D48" s="189"/>
      <c r="E48" s="189"/>
      <c r="F48" s="190"/>
    </row>
    <row r="49" spans="1:6" ht="14.25" customHeight="1" x14ac:dyDescent="0.25">
      <c r="A49" s="142"/>
      <c r="B49" s="26"/>
      <c r="C49" s="26"/>
      <c r="D49" s="26"/>
      <c r="E49" s="26"/>
      <c r="F49" s="143"/>
    </row>
    <row r="50" spans="1:6" ht="12.75" hidden="1" customHeight="1" x14ac:dyDescent="0.25">
      <c r="A50" s="144"/>
      <c r="B50" s="145"/>
      <c r="C50" s="145"/>
      <c r="D50" s="145"/>
      <c r="E50" s="145"/>
      <c r="F50" s="146"/>
    </row>
  </sheetData>
  <mergeCells count="32">
    <mergeCell ref="A2:C2"/>
    <mergeCell ref="A3:C3"/>
    <mergeCell ref="D2:E2"/>
    <mergeCell ref="D3:E3"/>
    <mergeCell ref="E4:F4"/>
    <mergeCell ref="A4:B4"/>
    <mergeCell ref="E43:F43"/>
    <mergeCell ref="A47:F47"/>
    <mergeCell ref="A46:F46"/>
    <mergeCell ref="A8:B8"/>
    <mergeCell ref="A10:C10"/>
    <mergeCell ref="B39:E39"/>
    <mergeCell ref="B40:F40"/>
    <mergeCell ref="D34:E34"/>
    <mergeCell ref="D35:E35"/>
    <mergeCell ref="D36:E36"/>
    <mergeCell ref="A11:C11"/>
    <mergeCell ref="A12:C12"/>
    <mergeCell ref="A13:C13"/>
    <mergeCell ref="E12:F12"/>
    <mergeCell ref="E13:F13"/>
    <mergeCell ref="E14:F14"/>
    <mergeCell ref="A14:C14"/>
    <mergeCell ref="A15:C15"/>
    <mergeCell ref="E11:F11"/>
    <mergeCell ref="A5:B5"/>
    <mergeCell ref="A6:B6"/>
    <mergeCell ref="A7:B7"/>
    <mergeCell ref="E15:F15"/>
    <mergeCell ref="E5:F5"/>
    <mergeCell ref="E6:F6"/>
    <mergeCell ref="E7:F7"/>
  </mergeCells>
  <phoneticPr fontId="2" type="noConversion"/>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F4807-9713-4560-AF84-5553D7DEB081}">
  <sheetPr codeName="Sheet45"/>
  <dimension ref="C7:M32"/>
  <sheetViews>
    <sheetView workbookViewId="0">
      <selection activeCell="C20" sqref="C20"/>
    </sheetView>
  </sheetViews>
  <sheetFormatPr defaultRowHeight="15" x14ac:dyDescent="0.25"/>
  <cols>
    <col min="1" max="1" width="9.140625" style="193"/>
    <col min="2" max="2" width="20.5703125" style="193" customWidth="1"/>
    <col min="3" max="3" width="4.85546875" style="193" customWidth="1"/>
    <col min="4" max="4" width="23.85546875" style="193" customWidth="1"/>
    <col min="5" max="5" width="30.140625" style="193" customWidth="1"/>
    <col min="6" max="6" width="6" style="193" customWidth="1"/>
    <col min="7" max="7" width="19.7109375" style="193" customWidth="1"/>
    <col min="8" max="8" width="26.85546875" style="193" customWidth="1"/>
    <col min="9" max="9" width="5" style="193" customWidth="1"/>
    <col min="10" max="10" width="19" style="193" customWidth="1"/>
    <col min="11" max="11" width="22.85546875" style="193" customWidth="1"/>
    <col min="12" max="12" width="24.28515625" style="193" customWidth="1"/>
    <col min="13" max="16384" width="9.140625" style="193"/>
  </cols>
  <sheetData>
    <row r="7" spans="3:11" x14ac:dyDescent="0.25">
      <c r="E7" s="192"/>
      <c r="F7" s="192"/>
    </row>
    <row r="8" spans="3:11" x14ac:dyDescent="0.25">
      <c r="C8" s="194"/>
      <c r="D8" s="194" t="s">
        <v>531</v>
      </c>
      <c r="E8" s="194" t="s">
        <v>542</v>
      </c>
      <c r="F8" s="37"/>
      <c r="G8" s="194" t="s">
        <v>531</v>
      </c>
      <c r="H8" s="194" t="s">
        <v>542</v>
      </c>
      <c r="I8" s="38"/>
      <c r="J8" s="194" t="s">
        <v>531</v>
      </c>
      <c r="K8" s="194" t="s">
        <v>542</v>
      </c>
    </row>
    <row r="9" spans="3:11" x14ac:dyDescent="0.25">
      <c r="C9" s="194">
        <v>1</v>
      </c>
      <c r="D9" s="198" t="s">
        <v>534</v>
      </c>
      <c r="E9" s="200" t="s">
        <v>543</v>
      </c>
      <c r="F9" s="194">
        <v>11</v>
      </c>
      <c r="G9" s="198" t="s">
        <v>553</v>
      </c>
      <c r="H9" s="200" t="s">
        <v>563</v>
      </c>
      <c r="I9" s="194">
        <v>21</v>
      </c>
      <c r="J9" s="198" t="s">
        <v>573</v>
      </c>
      <c r="K9" s="200" t="s">
        <v>583</v>
      </c>
    </row>
    <row r="10" spans="3:11" x14ac:dyDescent="0.25">
      <c r="C10" s="194">
        <v>2</v>
      </c>
      <c r="D10" s="198" t="s">
        <v>532</v>
      </c>
      <c r="E10" s="200" t="s">
        <v>544</v>
      </c>
      <c r="F10" s="194">
        <v>12</v>
      </c>
      <c r="G10" s="198" t="s">
        <v>554</v>
      </c>
      <c r="H10" s="200" t="s">
        <v>564</v>
      </c>
      <c r="I10" s="194">
        <v>22</v>
      </c>
      <c r="J10" s="198" t="s">
        <v>576</v>
      </c>
      <c r="K10" s="200" t="s">
        <v>584</v>
      </c>
    </row>
    <row r="11" spans="3:11" x14ac:dyDescent="0.25">
      <c r="C11" s="194">
        <v>3</v>
      </c>
      <c r="D11" s="198" t="s">
        <v>533</v>
      </c>
      <c r="E11" s="200" t="s">
        <v>545</v>
      </c>
      <c r="F11" s="194">
        <v>13</v>
      </c>
      <c r="G11" s="198" t="s">
        <v>555</v>
      </c>
      <c r="H11" s="200" t="s">
        <v>565</v>
      </c>
      <c r="I11" s="194">
        <v>23</v>
      </c>
      <c r="J11" s="198" t="s">
        <v>577</v>
      </c>
      <c r="K11" s="200" t="s">
        <v>585</v>
      </c>
    </row>
    <row r="12" spans="3:11" x14ac:dyDescent="0.25">
      <c r="C12" s="194">
        <v>4</v>
      </c>
      <c r="D12" s="198" t="s">
        <v>535</v>
      </c>
      <c r="E12" s="200" t="s">
        <v>546</v>
      </c>
      <c r="F12" s="194">
        <v>14</v>
      </c>
      <c r="G12" s="198" t="s">
        <v>556</v>
      </c>
      <c r="H12" s="200" t="s">
        <v>566</v>
      </c>
      <c r="I12" s="194">
        <v>24</v>
      </c>
      <c r="J12" s="198" t="s">
        <v>574</v>
      </c>
      <c r="K12" s="200" t="s">
        <v>586</v>
      </c>
    </row>
    <row r="13" spans="3:11" x14ac:dyDescent="0.25">
      <c r="C13" s="194">
        <v>5</v>
      </c>
      <c r="D13" s="198" t="s">
        <v>536</v>
      </c>
      <c r="E13" s="200" t="s">
        <v>547</v>
      </c>
      <c r="F13" s="194">
        <v>15</v>
      </c>
      <c r="G13" s="198" t="s">
        <v>557</v>
      </c>
      <c r="H13" s="200" t="s">
        <v>567</v>
      </c>
      <c r="I13" s="194">
        <v>25</v>
      </c>
      <c r="J13" s="198" t="s">
        <v>575</v>
      </c>
      <c r="K13" s="200" t="s">
        <v>587</v>
      </c>
    </row>
    <row r="14" spans="3:11" x14ac:dyDescent="0.25">
      <c r="C14" s="194">
        <v>6</v>
      </c>
      <c r="D14" s="198" t="s">
        <v>537</v>
      </c>
      <c r="E14" s="200" t="s">
        <v>548</v>
      </c>
      <c r="F14" s="194">
        <v>16</v>
      </c>
      <c r="G14" s="198" t="s">
        <v>558</v>
      </c>
      <c r="H14" s="200" t="s">
        <v>568</v>
      </c>
      <c r="I14" s="194">
        <v>26</v>
      </c>
      <c r="J14" s="198" t="s">
        <v>578</v>
      </c>
      <c r="K14" s="200" t="s">
        <v>588</v>
      </c>
    </row>
    <row r="15" spans="3:11" x14ac:dyDescent="0.25">
      <c r="C15" s="194">
        <v>7</v>
      </c>
      <c r="D15" s="198" t="s">
        <v>538</v>
      </c>
      <c r="E15" s="200" t="s">
        <v>549</v>
      </c>
      <c r="F15" s="194">
        <v>17</v>
      </c>
      <c r="G15" s="198" t="s">
        <v>559</v>
      </c>
      <c r="H15" s="200" t="s">
        <v>569</v>
      </c>
      <c r="I15" s="194">
        <v>27</v>
      </c>
      <c r="J15" s="198" t="s">
        <v>579</v>
      </c>
      <c r="K15" s="200" t="s">
        <v>589</v>
      </c>
    </row>
    <row r="16" spans="3:11" x14ac:dyDescent="0.25">
      <c r="C16" s="194">
        <v>8</v>
      </c>
      <c r="D16" s="198" t="s">
        <v>539</v>
      </c>
      <c r="E16" s="200" t="s">
        <v>550</v>
      </c>
      <c r="F16" s="194">
        <v>18</v>
      </c>
      <c r="G16" s="198" t="s">
        <v>560</v>
      </c>
      <c r="H16" s="200" t="s">
        <v>570</v>
      </c>
      <c r="I16" s="194">
        <v>28</v>
      </c>
      <c r="J16" s="198" t="s">
        <v>580</v>
      </c>
      <c r="K16" s="200" t="s">
        <v>590</v>
      </c>
    </row>
    <row r="17" spans="3:13" x14ac:dyDescent="0.25">
      <c r="C17" s="194">
        <v>9</v>
      </c>
      <c r="D17" s="199" t="s">
        <v>540</v>
      </c>
      <c r="E17" s="201" t="s">
        <v>551</v>
      </c>
      <c r="F17" s="202">
        <v>19</v>
      </c>
      <c r="G17" s="199" t="s">
        <v>561</v>
      </c>
      <c r="H17" s="201" t="s">
        <v>571</v>
      </c>
      <c r="I17" s="202">
        <v>29</v>
      </c>
      <c r="J17" s="199" t="s">
        <v>581</v>
      </c>
      <c r="K17" s="201" t="s">
        <v>591</v>
      </c>
    </row>
    <row r="18" spans="3:13" x14ac:dyDescent="0.25">
      <c r="C18" s="194">
        <v>10</v>
      </c>
      <c r="D18" s="198" t="s">
        <v>541</v>
      </c>
      <c r="E18" s="200" t="s">
        <v>552</v>
      </c>
      <c r="F18" s="194">
        <v>20</v>
      </c>
      <c r="G18" s="198" t="s">
        <v>562</v>
      </c>
      <c r="H18" s="200" t="s">
        <v>572</v>
      </c>
      <c r="I18" s="194">
        <v>30</v>
      </c>
      <c r="J18" s="198" t="s">
        <v>582</v>
      </c>
      <c r="K18" s="200" t="s">
        <v>592</v>
      </c>
    </row>
    <row r="23" spans="3:13" x14ac:dyDescent="0.25">
      <c r="C23" s="197">
        <v>1</v>
      </c>
      <c r="D23" s="193" t="s">
        <v>603</v>
      </c>
      <c r="E23" s="200" t="s">
        <v>543</v>
      </c>
      <c r="F23" s="197">
        <v>11</v>
      </c>
      <c r="G23" s="193" t="s">
        <v>601</v>
      </c>
      <c r="H23" s="200" t="s">
        <v>563</v>
      </c>
      <c r="I23" s="197">
        <v>21</v>
      </c>
      <c r="J23" s="193" t="s">
        <v>573</v>
      </c>
      <c r="K23" s="200" t="s">
        <v>583</v>
      </c>
    </row>
    <row r="24" spans="3:13" x14ac:dyDescent="0.25">
      <c r="C24" s="197">
        <v>2</v>
      </c>
      <c r="D24" s="203" t="s">
        <v>593</v>
      </c>
      <c r="E24" s="200" t="s">
        <v>544</v>
      </c>
      <c r="F24" s="197">
        <v>12</v>
      </c>
      <c r="G24" s="204" t="s">
        <v>602</v>
      </c>
      <c r="H24" s="200" t="s">
        <v>564</v>
      </c>
      <c r="I24" s="197">
        <v>22</v>
      </c>
      <c r="J24" s="196" t="s">
        <v>576</v>
      </c>
      <c r="K24" s="200" t="s">
        <v>584</v>
      </c>
      <c r="M24" s="203"/>
    </row>
    <row r="25" spans="3:13" x14ac:dyDescent="0.25">
      <c r="C25" s="197">
        <v>3</v>
      </c>
      <c r="D25" s="193" t="s">
        <v>594</v>
      </c>
      <c r="E25" s="200" t="s">
        <v>545</v>
      </c>
      <c r="F25" s="197">
        <v>13</v>
      </c>
      <c r="G25" s="193" t="s">
        <v>555</v>
      </c>
      <c r="H25" s="200" t="s">
        <v>565</v>
      </c>
      <c r="I25" s="197">
        <v>23</v>
      </c>
      <c r="J25" s="205" t="s">
        <v>577</v>
      </c>
      <c r="K25" s="200" t="s">
        <v>585</v>
      </c>
    </row>
    <row r="26" spans="3:13" x14ac:dyDescent="0.25">
      <c r="C26" s="197">
        <v>4</v>
      </c>
      <c r="D26" s="193" t="s">
        <v>595</v>
      </c>
      <c r="E26" s="200" t="s">
        <v>546</v>
      </c>
      <c r="F26" s="197">
        <v>14</v>
      </c>
      <c r="G26" s="193" t="s">
        <v>556</v>
      </c>
      <c r="H26" s="200" t="s">
        <v>566</v>
      </c>
      <c r="I26" s="197">
        <v>24</v>
      </c>
      <c r="J26" s="206" t="s">
        <v>574</v>
      </c>
      <c r="K26" s="200" t="s">
        <v>586</v>
      </c>
    </row>
    <row r="27" spans="3:13" x14ac:dyDescent="0.25">
      <c r="C27" s="197">
        <v>5</v>
      </c>
      <c r="D27" s="193" t="s">
        <v>596</v>
      </c>
      <c r="E27" s="200" t="s">
        <v>547</v>
      </c>
      <c r="F27" s="197">
        <v>15</v>
      </c>
      <c r="G27" s="204" t="s">
        <v>557</v>
      </c>
      <c r="H27" s="200" t="s">
        <v>567</v>
      </c>
      <c r="I27" s="197">
        <v>25</v>
      </c>
      <c r="J27" s="207" t="s">
        <v>575</v>
      </c>
      <c r="K27" s="200" t="s">
        <v>587</v>
      </c>
    </row>
    <row r="28" spans="3:13" x14ac:dyDescent="0.25">
      <c r="C28" s="197">
        <v>6</v>
      </c>
      <c r="D28" s="193" t="s">
        <v>597</v>
      </c>
      <c r="E28" s="200" t="s">
        <v>548</v>
      </c>
      <c r="F28" s="197">
        <v>16</v>
      </c>
      <c r="G28" s="193" t="s">
        <v>558</v>
      </c>
      <c r="H28" s="200" t="s">
        <v>568</v>
      </c>
      <c r="I28" s="197">
        <v>26</v>
      </c>
      <c r="J28" s="193" t="s">
        <v>578</v>
      </c>
      <c r="K28" s="200" t="s">
        <v>588</v>
      </c>
    </row>
    <row r="29" spans="3:13" x14ac:dyDescent="0.25">
      <c r="C29" s="197">
        <v>7</v>
      </c>
      <c r="D29" s="193" t="s">
        <v>598</v>
      </c>
      <c r="E29" s="200" t="s">
        <v>549</v>
      </c>
      <c r="F29" s="197">
        <v>17</v>
      </c>
      <c r="G29" s="193" t="s">
        <v>559</v>
      </c>
      <c r="H29" s="200" t="s">
        <v>569</v>
      </c>
      <c r="I29" s="197">
        <v>27</v>
      </c>
      <c r="J29" s="193" t="s">
        <v>579</v>
      </c>
      <c r="K29" s="200" t="s">
        <v>589</v>
      </c>
    </row>
    <row r="30" spans="3:13" x14ac:dyDescent="0.25">
      <c r="C30" s="149">
        <v>8</v>
      </c>
      <c r="D30" s="16" t="s">
        <v>539</v>
      </c>
      <c r="E30" s="208" t="s">
        <v>550</v>
      </c>
      <c r="F30" s="197">
        <v>18</v>
      </c>
      <c r="G30" s="193" t="s">
        <v>560</v>
      </c>
      <c r="H30" s="200" t="s">
        <v>570</v>
      </c>
      <c r="I30" s="197">
        <v>28</v>
      </c>
      <c r="J30" s="193" t="s">
        <v>580</v>
      </c>
      <c r="K30" s="200" t="s">
        <v>590</v>
      </c>
    </row>
    <row r="31" spans="3:13" x14ac:dyDescent="0.25">
      <c r="C31" s="197">
        <v>9</v>
      </c>
      <c r="D31" s="203" t="s">
        <v>599</v>
      </c>
      <c r="E31" s="201" t="s">
        <v>551</v>
      </c>
      <c r="F31" s="197">
        <v>19</v>
      </c>
      <c r="G31" s="193" t="s">
        <v>561</v>
      </c>
      <c r="H31" s="201" t="s">
        <v>571</v>
      </c>
      <c r="I31" s="197">
        <v>29</v>
      </c>
      <c r="J31" s="193" t="s">
        <v>581</v>
      </c>
      <c r="K31" s="201" t="s">
        <v>591</v>
      </c>
    </row>
    <row r="32" spans="3:13" x14ac:dyDescent="0.25">
      <c r="C32" s="197">
        <v>10</v>
      </c>
      <c r="D32" s="193" t="s">
        <v>600</v>
      </c>
      <c r="E32" s="200" t="s">
        <v>552</v>
      </c>
      <c r="F32" s="197">
        <v>20</v>
      </c>
      <c r="G32" s="193" t="s">
        <v>562</v>
      </c>
      <c r="H32" s="200" t="s">
        <v>572</v>
      </c>
      <c r="I32" s="197">
        <v>30</v>
      </c>
      <c r="J32" s="193" t="s">
        <v>582</v>
      </c>
      <c r="K32" s="200" t="s">
        <v>592</v>
      </c>
    </row>
  </sheetData>
  <autoFilter ref="C23:K32" xr:uid="{19EF4807-9713-4560-AF84-5553D7DEB081}"/>
  <phoneticPr fontId="2"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BASIC EXCEL</vt:lpstr>
      <vt:lpstr>MARKSHEET</vt:lpstr>
      <vt:lpstr>DATE &amp;TIME FUNTION</vt:lpstr>
      <vt:lpstr>COUNTIF,COUNTIFS</vt:lpstr>
      <vt:lpstr>SUMIF &amp; SUMIFS</vt:lpstr>
      <vt:lpstr>AVERAGEIF &amp; IFS</vt:lpstr>
      <vt:lpstr>VLOOKUP</vt:lpstr>
      <vt:lpstr>HLOOKUP</vt:lpstr>
      <vt:lpstr>INDEX MATCH</vt:lpstr>
      <vt:lpstr>ISEVEN ISODD</vt:lpstr>
      <vt:lpstr>SEARCH FIND</vt:lpstr>
      <vt:lpstr>DASHBOARD 1</vt:lpstr>
      <vt:lpstr>DASHBOARD 2</vt:lpstr>
      <vt:lpstr>DASHBOARD 3</vt:lpstr>
      <vt:lpstr>DASHBOARD 4</vt:lpstr>
      <vt:lpstr>Sheet1</vt:lpstr>
      <vt:lpstr>TEXT SEPERATION</vt:lpstr>
      <vt:lpstr>TEXT SEPERATION 2</vt:lpstr>
      <vt:lpstr>TEXT SEPERATION 3</vt:lpstr>
      <vt:lpstr>VLOOKUP IFERROR</vt:lpstr>
      <vt:lpstr>LOGICAL FORMULA</vt:lpstr>
      <vt:lpstr>PIVOT TABLE</vt:lpstr>
      <vt:lpstr>PIVOT TABLE 2</vt:lpstr>
      <vt:lpstr>PIVOT TABLE 3</vt:lpstr>
      <vt:lpstr>GROUP AND UNGROUP</vt:lpstr>
      <vt:lpstr>PIVOT TABLE 4</vt:lpstr>
      <vt:lpstr>PIVOT CHART</vt:lpstr>
      <vt:lpstr>PIVOT TABLE END</vt:lpstr>
      <vt:lpstr>ATTENDENCE SHEET </vt:lpstr>
      <vt:lpstr>SALARY SHEET </vt:lpstr>
      <vt:lpstr>BASIC FORMULA 1</vt:lpstr>
      <vt:lpstr>BASIC FORMULA 2</vt:lpstr>
      <vt:lpstr>FINACIAL FORMULA</vt:lpstr>
      <vt:lpstr>PMT</vt:lpstr>
      <vt:lpstr>TEST 1</vt:lpstr>
      <vt:lpstr>TEST 2</vt:lpstr>
      <vt:lpstr>TEST 3</vt:lpstr>
      <vt:lpstr>TEST 4</vt:lpstr>
      <vt:lpstr>TEST 5</vt:lpstr>
      <vt:lpstr>TEST 6</vt:lpstr>
      <vt:lpstr>TEST 7  </vt:lpstr>
      <vt:lpstr>TEST 8</vt:lpstr>
      <vt:lpstr>TOTAL STOCK DATA</vt:lpstr>
      <vt:lpstr>HIGHTLIGHT </vt:lpstr>
      <vt:lpstr>BILLING INVOICE</vt:lpstr>
      <vt:lpstr>30 SHORTCUT KEYS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hp</cp:lastModifiedBy>
  <cp:lastPrinted>2025-02-02T11:35:31Z</cp:lastPrinted>
  <dcterms:created xsi:type="dcterms:W3CDTF">2024-12-20T14:19:41Z</dcterms:created>
  <dcterms:modified xsi:type="dcterms:W3CDTF">2026-08-13T21:33:55Z</dcterms:modified>
</cp:coreProperties>
</file>